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f\Desktop\"/>
    </mc:Choice>
  </mc:AlternateContent>
  <xr:revisionPtr revIDLastSave="0" documentId="13_ncr:1_{749DA8F0-C242-47D7-BF1F-B3284A9105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RIO" sheetId="4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73" i="4" l="1"/>
  <c r="E520" i="4"/>
  <c r="E196" i="4"/>
  <c r="E93" i="4"/>
  <c r="E70" i="4"/>
  <c r="E261" i="4"/>
  <c r="E523" i="4"/>
  <c r="E200" i="4"/>
  <c r="E528" i="4"/>
  <c r="E456" i="4"/>
  <c r="E2" i="4"/>
  <c r="E3" i="4"/>
  <c r="E4" i="4"/>
  <c r="E6" i="4"/>
  <c r="E7" i="4"/>
  <c r="E8" i="4"/>
  <c r="E9" i="4"/>
  <c r="E12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322" i="4"/>
  <c r="E323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7" i="4"/>
  <c r="E48" i="4"/>
  <c r="E49" i="4"/>
  <c r="E50" i="4"/>
  <c r="E51" i="4"/>
  <c r="E52" i="4"/>
  <c r="E53" i="4"/>
  <c r="E54" i="4"/>
  <c r="E55" i="4"/>
  <c r="E56" i="4"/>
  <c r="E59" i="4"/>
  <c r="E60" i="4"/>
  <c r="E61" i="4"/>
  <c r="E62" i="4"/>
  <c r="E65" i="4"/>
  <c r="E64" i="4"/>
  <c r="E66" i="4"/>
  <c r="E67" i="4"/>
  <c r="E68" i="4"/>
  <c r="E69" i="4"/>
  <c r="E71" i="4"/>
  <c r="E72" i="4"/>
  <c r="E73" i="4"/>
  <c r="E74" i="4"/>
  <c r="E75" i="4"/>
  <c r="E77" i="4"/>
  <c r="E79" i="4"/>
  <c r="E81" i="4"/>
  <c r="E82" i="4"/>
  <c r="E84" i="4"/>
  <c r="E85" i="4"/>
  <c r="E86" i="4"/>
  <c r="E87" i="4"/>
  <c r="E88" i="4"/>
  <c r="E89" i="4"/>
  <c r="E90" i="4"/>
  <c r="E91" i="4"/>
  <c r="E92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9" i="4"/>
  <c r="E110" i="4"/>
  <c r="E111" i="4"/>
  <c r="E112" i="4"/>
  <c r="E113" i="4"/>
  <c r="E114" i="4"/>
  <c r="E115" i="4"/>
  <c r="E116" i="4"/>
  <c r="E117" i="4"/>
  <c r="E118" i="4"/>
  <c r="E119" i="4"/>
  <c r="E5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7" i="4"/>
  <c r="E138" i="4"/>
  <c r="E139" i="4"/>
  <c r="E140" i="4"/>
  <c r="E141" i="4"/>
  <c r="E142" i="4"/>
  <c r="E143" i="4"/>
  <c r="E146" i="4"/>
  <c r="E150" i="4"/>
  <c r="E147" i="4"/>
  <c r="E144" i="4"/>
  <c r="E156" i="4"/>
  <c r="E157" i="4"/>
  <c r="E158" i="4"/>
  <c r="E159" i="4"/>
  <c r="E160" i="4"/>
  <c r="E161" i="4"/>
  <c r="E162" i="4"/>
  <c r="E163" i="4"/>
  <c r="E164" i="4"/>
  <c r="E166" i="4"/>
  <c r="E167" i="4"/>
  <c r="E168" i="4"/>
  <c r="E169" i="4"/>
  <c r="E170" i="4"/>
  <c r="E171" i="4"/>
  <c r="E172" i="4"/>
  <c r="E175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2" i="4"/>
  <c r="E194" i="4"/>
  <c r="E195" i="4"/>
  <c r="E197" i="4"/>
  <c r="E198" i="4"/>
  <c r="E199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6" i="4"/>
  <c r="E217" i="4"/>
  <c r="E218" i="4"/>
  <c r="E220" i="4"/>
  <c r="E221" i="4"/>
  <c r="E222" i="4"/>
  <c r="E223" i="4"/>
  <c r="E224" i="4"/>
  <c r="E225" i="4"/>
  <c r="E226" i="4"/>
  <c r="E227" i="4"/>
  <c r="E228" i="4"/>
  <c r="E230" i="4"/>
  <c r="E231" i="4"/>
  <c r="E232" i="4"/>
  <c r="E233" i="4"/>
  <c r="E234" i="4"/>
  <c r="E235" i="4"/>
  <c r="E236" i="4"/>
  <c r="E237" i="4"/>
  <c r="E238" i="4"/>
  <c r="E252" i="4"/>
  <c r="E239" i="4"/>
  <c r="E240" i="4"/>
  <c r="E251" i="4"/>
  <c r="E241" i="4"/>
  <c r="E242" i="4"/>
  <c r="E243" i="4"/>
  <c r="E244" i="4"/>
  <c r="E246" i="4"/>
  <c r="E248" i="4"/>
  <c r="E249" i="4"/>
  <c r="E250" i="4"/>
  <c r="E253" i="4"/>
  <c r="E254" i="4"/>
  <c r="E255" i="4"/>
  <c r="E256" i="4"/>
  <c r="E258" i="4"/>
  <c r="E260" i="4"/>
  <c r="E262" i="4"/>
  <c r="E263" i="4"/>
  <c r="E265" i="4"/>
  <c r="E266" i="4"/>
  <c r="E267" i="4"/>
  <c r="E269" i="4"/>
  <c r="E272" i="4"/>
  <c r="E273" i="4"/>
  <c r="E274" i="4"/>
  <c r="E275" i="4"/>
  <c r="E276" i="4"/>
  <c r="E277" i="4"/>
  <c r="E278" i="4"/>
  <c r="E284" i="4"/>
  <c r="E285" i="4"/>
  <c r="E289" i="4"/>
  <c r="E290" i="4"/>
  <c r="E291" i="4"/>
  <c r="E292" i="4"/>
  <c r="E293" i="4"/>
  <c r="E294" i="4"/>
  <c r="E295" i="4"/>
  <c r="E296" i="4"/>
  <c r="E297" i="4"/>
  <c r="E301" i="4"/>
  <c r="E302" i="4"/>
  <c r="E303" i="4"/>
  <c r="E304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4" i="4"/>
  <c r="E325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8" i="4"/>
  <c r="E349" i="4"/>
  <c r="E350" i="4"/>
  <c r="E352" i="4"/>
  <c r="E353" i="4"/>
  <c r="E354" i="4"/>
  <c r="E355" i="4"/>
  <c r="E356" i="4"/>
  <c r="E358" i="4"/>
  <c r="E359" i="4"/>
  <c r="E362" i="4"/>
  <c r="E363" i="4"/>
  <c r="E364" i="4"/>
  <c r="E365" i="4"/>
  <c r="E366" i="4"/>
  <c r="E367" i="4"/>
  <c r="E368" i="4"/>
  <c r="E369" i="4"/>
  <c r="E372" i="4"/>
  <c r="E376" i="4"/>
  <c r="E377" i="4"/>
  <c r="E191" i="4"/>
  <c r="E378" i="4"/>
  <c r="E379" i="4"/>
  <c r="E380" i="4"/>
  <c r="E382" i="4"/>
  <c r="E383" i="4"/>
  <c r="E384" i="4"/>
  <c r="E385" i="4"/>
  <c r="E386" i="4"/>
  <c r="E387" i="4"/>
  <c r="E388" i="4"/>
  <c r="E391" i="4"/>
  <c r="E392" i="4"/>
  <c r="E394" i="4"/>
  <c r="E395" i="4"/>
  <c r="E396" i="4"/>
  <c r="E397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22" i="4"/>
  <c r="E423" i="4"/>
  <c r="E424" i="4"/>
  <c r="E425" i="4"/>
  <c r="E426" i="4"/>
  <c r="E430" i="4"/>
  <c r="E427" i="4"/>
  <c r="E428" i="4"/>
  <c r="E429" i="4"/>
  <c r="E433" i="4"/>
  <c r="E434" i="4"/>
  <c r="E435" i="4"/>
  <c r="E436" i="4"/>
  <c r="E437" i="4"/>
  <c r="E438" i="4"/>
  <c r="E443" i="4"/>
  <c r="E444" i="4"/>
  <c r="E445" i="4"/>
  <c r="E450" i="4"/>
  <c r="E451" i="4"/>
  <c r="E452" i="4"/>
  <c r="E453" i="4"/>
  <c r="E454" i="4"/>
  <c r="E455" i="4"/>
  <c r="E457" i="4"/>
  <c r="E458" i="4"/>
  <c r="E460" i="4"/>
  <c r="E461" i="4"/>
  <c r="E135" i="4"/>
  <c r="E464" i="4"/>
  <c r="E465" i="4"/>
  <c r="E466" i="4"/>
  <c r="E467" i="4"/>
  <c r="E468" i="4"/>
  <c r="E469" i="4"/>
  <c r="E472" i="4"/>
  <c r="E475" i="4"/>
  <c r="E476" i="4"/>
  <c r="E478" i="4"/>
  <c r="E479" i="4"/>
  <c r="E480" i="4"/>
  <c r="E482" i="4"/>
  <c r="E484" i="4"/>
  <c r="E485" i="4"/>
  <c r="E486" i="4"/>
  <c r="E487" i="4"/>
  <c r="E488" i="4"/>
  <c r="E489" i="4"/>
  <c r="E490" i="4"/>
  <c r="E201" i="4"/>
  <c r="E494" i="4"/>
  <c r="E495" i="4"/>
  <c r="E496" i="4"/>
  <c r="E497" i="4"/>
  <c r="E498" i="4"/>
  <c r="E499" i="4"/>
  <c r="E500" i="4"/>
  <c r="E502" i="4"/>
  <c r="E503" i="4"/>
  <c r="E505" i="4"/>
  <c r="E506" i="4"/>
  <c r="E508" i="4"/>
  <c r="E510" i="4"/>
  <c r="E511" i="4"/>
  <c r="E512" i="4"/>
  <c r="E513" i="4"/>
  <c r="E514" i="4"/>
  <c r="E517" i="4"/>
  <c r="E518" i="4"/>
  <c r="E521" i="4"/>
  <c r="E522" i="4"/>
  <c r="E524" i="4"/>
  <c r="E525" i="4"/>
  <c r="E526" i="4"/>
  <c r="E527" i="4"/>
  <c r="E529" i="4"/>
  <c r="E530" i="4"/>
  <c r="E531" i="4"/>
  <c r="E532" i="4"/>
  <c r="E533" i="4"/>
  <c r="E375" i="4"/>
  <c r="E219" i="4"/>
  <c r="E173" i="4"/>
  <c r="E215" i="4"/>
  <c r="E463" i="4"/>
  <c r="E462" i="4"/>
  <c r="E421" i="4"/>
  <c r="E351" i="4"/>
  <c r="E29" i="4"/>
  <c r="E357" i="4"/>
  <c r="E288" i="4"/>
  <c r="E481" i="4"/>
  <c r="E76" i="4"/>
  <c r="E176" i="4"/>
  <c r="E193" i="4"/>
  <c r="E165" i="4"/>
  <c r="E501" i="4"/>
  <c r="E299" i="4"/>
  <c r="E371" i="4"/>
  <c r="E300" i="4"/>
  <c r="E515" i="4"/>
  <c r="E287" i="4"/>
  <c r="E286" i="4"/>
  <c r="E360" i="4"/>
  <c r="E516" i="4"/>
  <c r="E432" i="4"/>
  <c r="E431" i="4"/>
  <c r="E440" i="4"/>
  <c r="E439" i="4"/>
  <c r="E390" i="4"/>
  <c r="E393" i="4"/>
  <c r="E509" i="4"/>
  <c r="E507" i="4"/>
  <c r="E361" i="4"/>
  <c r="E346" i="4"/>
  <c r="E108" i="4"/>
  <c r="E474" i="4"/>
  <c r="E473" i="4"/>
  <c r="E259" i="4"/>
  <c r="E107" i="4"/>
  <c r="E46" i="4"/>
  <c r="E270" i="4"/>
  <c r="E519" i="4"/>
  <c r="E305" i="4"/>
  <c r="E477" i="4"/>
  <c r="E374" i="4"/>
  <c r="E80" i="4"/>
  <c r="E28" i="4"/>
  <c r="E398" i="4"/>
  <c r="E298" i="4"/>
  <c r="E145" i="4"/>
  <c r="E148" i="4"/>
  <c r="E149" i="4"/>
  <c r="E389" i="4"/>
  <c r="E381" i="4"/>
  <c r="E268" i="4"/>
  <c r="E271" i="4"/>
  <c r="E459" i="4"/>
  <c r="E58" i="4"/>
  <c r="E57" i="4"/>
  <c r="E257" i="4"/>
  <c r="E94" i="4"/>
  <c r="E483" i="4"/>
  <c r="E245" i="4"/>
  <c r="E11" i="4"/>
  <c r="E63" i="4"/>
  <c r="E247" i="4"/>
  <c r="E264" i="4"/>
  <c r="E345" i="4"/>
  <c r="E281" i="4"/>
  <c r="E282" i="4"/>
  <c r="E283" i="4"/>
  <c r="E279" i="4"/>
  <c r="E280" i="4"/>
  <c r="E471" i="4"/>
  <c r="E10" i="4"/>
  <c r="E174" i="4"/>
  <c r="E229" i="4"/>
  <c r="E446" i="4"/>
  <c r="E448" i="4"/>
  <c r="E418" i="4"/>
  <c r="E13" i="4"/>
  <c r="E344" i="4"/>
  <c r="E504" i="4"/>
  <c r="E417" i="4"/>
  <c r="E419" i="4"/>
  <c r="E449" i="4"/>
  <c r="E447" i="4"/>
  <c r="E491" i="4"/>
  <c r="E326" i="4"/>
  <c r="E370" i="4"/>
  <c r="E154" i="4"/>
  <c r="E155" i="4"/>
  <c r="E83" i="4"/>
  <c r="E78" i="4"/>
  <c r="E441" i="4"/>
  <c r="E442" i="4"/>
  <c r="E470" i="4"/>
  <c r="E347" i="4"/>
  <c r="E493" i="4"/>
  <c r="E492" i="4"/>
  <c r="E420" i="4"/>
  <c r="E136" i="4"/>
  <c r="E134" i="4"/>
  <c r="E152" i="4"/>
  <c r="E153" i="4"/>
  <c r="E151" i="4"/>
</calcChain>
</file>

<file path=xl/sharedStrings.xml><?xml version="1.0" encoding="utf-8"?>
<sst xmlns="http://schemas.openxmlformats.org/spreadsheetml/2006/main" count="1069" uniqueCount="1059">
  <si>
    <t>CÓDIGO PRODUCTO</t>
  </si>
  <si>
    <t>DESCRIPCIÓN</t>
  </si>
  <si>
    <t xml:space="preserve">EXISTENCIAS </t>
  </si>
  <si>
    <t>MONP0001</t>
  </si>
  <si>
    <t>MONP0002</t>
  </si>
  <si>
    <t>MONP0003</t>
  </si>
  <si>
    <t>MONP0004</t>
  </si>
  <si>
    <t>MONP0005</t>
  </si>
  <si>
    <t>MONP0006</t>
  </si>
  <si>
    <t>MONP0007</t>
  </si>
  <si>
    <t>MONP0008</t>
  </si>
  <si>
    <t>MONP0009</t>
  </si>
  <si>
    <t>MONP0010</t>
  </si>
  <si>
    <t>PRECIO</t>
  </si>
  <si>
    <t>PISTONES CÓNICOS 4HF1</t>
  </si>
  <si>
    <t>MONP0011</t>
  </si>
  <si>
    <t>MONP0012</t>
  </si>
  <si>
    <t>MONP0013</t>
  </si>
  <si>
    <t>MONP0014</t>
  </si>
  <si>
    <t>MONP0015</t>
  </si>
  <si>
    <t>MONP0016</t>
  </si>
  <si>
    <t>MONP0017</t>
  </si>
  <si>
    <t>CONCHAS BIELA 0.50/0.20 4HG1/4HF1/6HH1 (DAIDO M)</t>
  </si>
  <si>
    <t>CONCHAS BIELA 0.25/0.10 4HG1/4HF1/6HH1 (DAIDO M)</t>
  </si>
  <si>
    <t>CONCHAS BIELA 0.75/0.30 4HG1/4HF1/6HH1 (TAIHO)</t>
  </si>
  <si>
    <t>CONCHAS BANCADA STD 4HG1/4HF1/6HH1 (DAIDO METAL)</t>
  </si>
  <si>
    <t>CONCHAS BANCADA STD 4HG1/4HF1/6HH1 (TOK-COM)</t>
  </si>
  <si>
    <t>CONCHAS BANCADA STD 4HG1/4HF1/6HH1 (TAIHO)</t>
  </si>
  <si>
    <t>MONP0018</t>
  </si>
  <si>
    <t xml:space="preserve">CONCHAS BANCADA 0.50/0,20 4HG1/4HF1/ 6HH1 (DAIDO METAL) </t>
  </si>
  <si>
    <t>MONP0019</t>
  </si>
  <si>
    <t>CONCHAS BANCADA 0.75/0.30 4HG1/4HF1/ 6HH1 (TAIHO)</t>
  </si>
  <si>
    <t xml:space="preserve">MONP0020 </t>
  </si>
  <si>
    <t>CONCHAS BANCADA 0.75/0.30 4HG1/4HF1/ 6HH1 (DAIDO METAL)</t>
  </si>
  <si>
    <t>MONP0021</t>
  </si>
  <si>
    <t>MONP0022</t>
  </si>
  <si>
    <t>MONP0023</t>
  </si>
  <si>
    <t>MONP0024</t>
  </si>
  <si>
    <t>EMPACADURA CAMARA 5 LAMINAS 4BD1 TONYCO</t>
  </si>
  <si>
    <t>MONP0025</t>
  </si>
  <si>
    <t>MONP0026</t>
  </si>
  <si>
    <t>EMPACADURA CAMARA 6HH1 SONYCO</t>
  </si>
  <si>
    <t>MONP0027</t>
  </si>
  <si>
    <t xml:space="preserve">MONP0028 </t>
  </si>
  <si>
    <t>MONP0029</t>
  </si>
  <si>
    <t>MONP0030</t>
  </si>
  <si>
    <t>MONP0031</t>
  </si>
  <si>
    <t>MONP0032</t>
  </si>
  <si>
    <t>BUJE BIELA 4HG1/4HF1 STD (DAIDO METAL)</t>
  </si>
  <si>
    <t>AXIAL STD 4HG1/4HF1/6HH1 (NDC/DAIDO METAL)</t>
  </si>
  <si>
    <t>MONP0033</t>
  </si>
  <si>
    <t>SUMA</t>
  </si>
  <si>
    <t>MONP0034</t>
  </si>
  <si>
    <t>RETEN CIGÜEÑAL TRASERO 4HG1 ISUZU NPR</t>
  </si>
  <si>
    <t>MONP0035</t>
  </si>
  <si>
    <t>MONP0036</t>
  </si>
  <si>
    <t>MONP0037</t>
  </si>
  <si>
    <t>RETEN RUEDA TRASERA GIRATORIA NPR  NQK.SF</t>
  </si>
  <si>
    <t>MONP0038</t>
  </si>
  <si>
    <t>MONP0039</t>
  </si>
  <si>
    <t>MONP0040</t>
  </si>
  <si>
    <t>MONP0041</t>
  </si>
  <si>
    <t>RETEN RUEDA TRASERA GIRATORIA NPR VDC</t>
  </si>
  <si>
    <t xml:space="preserve">RETEN RUEDA DELANTERO NPR </t>
  </si>
  <si>
    <t>RETEN SPEED YOQUI IZUZU</t>
  </si>
  <si>
    <t>MONP0042</t>
  </si>
  <si>
    <t>MONP0043</t>
  </si>
  <si>
    <t>MONP0044</t>
  </si>
  <si>
    <t>CORREA ALTERNADOR ENCAVA.HINO.FVR  DONGIL SUPER STAR</t>
  </si>
  <si>
    <t>MONP0045</t>
  </si>
  <si>
    <t>MONP0046</t>
  </si>
  <si>
    <t>MONP0047</t>
  </si>
  <si>
    <t>MONP0048</t>
  </si>
  <si>
    <t>MONP0049</t>
  </si>
  <si>
    <t>MONP0050</t>
  </si>
  <si>
    <t>MONP0051</t>
  </si>
  <si>
    <t>MONP0052</t>
  </si>
  <si>
    <t>MONP0053</t>
  </si>
  <si>
    <t>MONP0054</t>
  </si>
  <si>
    <t xml:space="preserve">ROCIADOR NPR </t>
  </si>
  <si>
    <t>MONP0055</t>
  </si>
  <si>
    <t>MONP0056</t>
  </si>
  <si>
    <t>MONP0057</t>
  </si>
  <si>
    <t>MONP0058</t>
  </si>
  <si>
    <t>MONP0059</t>
  </si>
  <si>
    <t>MONP0060</t>
  </si>
  <si>
    <t>BOMBA ACEITE NPR 4HG1/4HF1</t>
  </si>
  <si>
    <t>MONP0061</t>
  </si>
  <si>
    <t>MONP0062</t>
  </si>
  <si>
    <t>MONP0063</t>
  </si>
  <si>
    <t>MONP0064</t>
  </si>
  <si>
    <t>MONP0065</t>
  </si>
  <si>
    <t>MONP0066</t>
  </si>
  <si>
    <t>MONP0067</t>
  </si>
  <si>
    <t>MONP0068</t>
  </si>
  <si>
    <t>MONP0069</t>
  </si>
  <si>
    <t>MONP0070</t>
  </si>
  <si>
    <t>MONP0071</t>
  </si>
  <si>
    <t>MONP0072</t>
  </si>
  <si>
    <t>MONP0073</t>
  </si>
  <si>
    <t>MONP0074</t>
  </si>
  <si>
    <t>MONP0075</t>
  </si>
  <si>
    <t>MONP0076</t>
  </si>
  <si>
    <t>MONP0077</t>
  </si>
  <si>
    <t>MONP0078</t>
  </si>
  <si>
    <t>MONP0079</t>
  </si>
  <si>
    <t>MONP0080</t>
  </si>
  <si>
    <t>MONP0081</t>
  </si>
  <si>
    <t>MONP0082</t>
  </si>
  <si>
    <t>MONP0083</t>
  </si>
  <si>
    <t>MONP0084</t>
  </si>
  <si>
    <t>MONP0085</t>
  </si>
  <si>
    <t>MONP0086</t>
  </si>
  <si>
    <t>MONP0087</t>
  </si>
  <si>
    <t>MONP0088</t>
  </si>
  <si>
    <t>MONP0089</t>
  </si>
  <si>
    <t>MONP0090</t>
  </si>
  <si>
    <t>MONP0091</t>
  </si>
  <si>
    <t>MONP0092</t>
  </si>
  <si>
    <t>MONP0093</t>
  </si>
  <si>
    <t>MONP0094</t>
  </si>
  <si>
    <t>MONP0095</t>
  </si>
  <si>
    <t>MONP0096</t>
  </si>
  <si>
    <t>MONP0097</t>
  </si>
  <si>
    <t>MONP0098</t>
  </si>
  <si>
    <t>MONP0099</t>
  </si>
  <si>
    <t>MONP0100</t>
  </si>
  <si>
    <t>MONP0101</t>
  </si>
  <si>
    <t>MONP0102</t>
  </si>
  <si>
    <t>MONP0103</t>
  </si>
  <si>
    <t>MONP0104</t>
  </si>
  <si>
    <t>MONP0105</t>
  </si>
  <si>
    <t>MONP0106</t>
  </si>
  <si>
    <t>CATRI TURBO NPR YUKON</t>
  </si>
  <si>
    <t xml:space="preserve">CATRI TURBO NPR </t>
  </si>
  <si>
    <t>VALVULA TEMPERATURA AGUA IZUZU</t>
  </si>
  <si>
    <t>CARRETO PULMON 30/30</t>
  </si>
  <si>
    <t>REPARACION COMPRESOR NPR AGUA KNORR CON BUJE CIGÜEÑAL</t>
  </si>
  <si>
    <t>PULMONES FRENOS NPR 16/24</t>
  </si>
  <si>
    <t>RODAMIENTOS KOYO 70188  TRASERA INTERNA NKR</t>
  </si>
  <si>
    <t>RODAMIENTO KOYO TRASERO 29586 INTERNO GRANDE</t>
  </si>
  <si>
    <t>RODAMIENTO KOYO TRASERO 28680 EXTERNO PEQUEÑA</t>
  </si>
  <si>
    <t>RODAMIENTO KOYO DELANTERO 32207  NPR EXTERNO PEQUEÑA</t>
  </si>
  <si>
    <t>RODAMIENTO KOYO DELANTERO 32210 NPR INTERNO GRANDE</t>
  </si>
  <si>
    <t>RODAMIENTO KOYO TRASERA ENCAVAS 32213 EXTERNA</t>
  </si>
  <si>
    <t>RODAMIENTO KOYO TRASERA ENCAVAS 32215 INTERNA</t>
  </si>
  <si>
    <t>RODAMIENTO BALLYROLL TRASERA NPR 29586 GRANDE</t>
  </si>
  <si>
    <t>RODAMIENTO BALLYROLL TRASERA NPR 28680 PEQUEÑA</t>
  </si>
  <si>
    <t>BOMBIN AUXILIAR ALBA</t>
  </si>
  <si>
    <t xml:space="preserve">BOMBIN PRINCIPAL ALBA </t>
  </si>
  <si>
    <t>BOMBIN AUXILIAR BWB</t>
  </si>
  <si>
    <t xml:space="preserve">REPARACION BOMBIN PRINCIPAL. NPR/NKR  </t>
  </si>
  <si>
    <t>CHUPA FRENO FRR ENCAVA DELANTERO 36MM</t>
  </si>
  <si>
    <t>RACHE FRENO 24 ESTRIA. NPR/CARGO 815</t>
  </si>
  <si>
    <t>PASADOR DIRECCION NPR BUFALO</t>
  </si>
  <si>
    <t>PASADOR DIRECCION ENCAVA 6BD1</t>
  </si>
  <si>
    <t>PASADOR DIRECCION NPR KING PINKIT</t>
  </si>
  <si>
    <t>MONP0107</t>
  </si>
  <si>
    <t>MONP0108</t>
  </si>
  <si>
    <t>MONP0109</t>
  </si>
  <si>
    <t>MONP0110</t>
  </si>
  <si>
    <t>MONP0111</t>
  </si>
  <si>
    <t>MONP0112</t>
  </si>
  <si>
    <t>MONP0113</t>
  </si>
  <si>
    <t>MONP0114</t>
  </si>
  <si>
    <t>MONP0115</t>
  </si>
  <si>
    <t>MONP0116</t>
  </si>
  <si>
    <t>MONP0117</t>
  </si>
  <si>
    <t>MONP0118</t>
  </si>
  <si>
    <t>MONP0119</t>
  </si>
  <si>
    <t>MONP0120</t>
  </si>
  <si>
    <t>MONP0121</t>
  </si>
  <si>
    <t>MONP0122</t>
  </si>
  <si>
    <t>MONP0123</t>
  </si>
  <si>
    <t>MONP0124</t>
  </si>
  <si>
    <t>MONP0125</t>
  </si>
  <si>
    <t>MONP0126</t>
  </si>
  <si>
    <t>MONP0127</t>
  </si>
  <si>
    <t>MONP0128</t>
  </si>
  <si>
    <t>MONP0129</t>
  </si>
  <si>
    <t>MONP0130</t>
  </si>
  <si>
    <t>MONP0131</t>
  </si>
  <si>
    <t>MONP0132</t>
  </si>
  <si>
    <t>MONP0133</t>
  </si>
  <si>
    <t>MONP0134</t>
  </si>
  <si>
    <t>MONP0135</t>
  </si>
  <si>
    <t>MONP0136</t>
  </si>
  <si>
    <t>MONP0137</t>
  </si>
  <si>
    <t>MONP0138</t>
  </si>
  <si>
    <t>MONP0139</t>
  </si>
  <si>
    <t>MONP0140</t>
  </si>
  <si>
    <t>MONP0141</t>
  </si>
  <si>
    <t>MONP0142</t>
  </si>
  <si>
    <t>MONP0143</t>
  </si>
  <si>
    <t>MONP0144</t>
  </si>
  <si>
    <t>MONP0145</t>
  </si>
  <si>
    <t>MONP0146</t>
  </si>
  <si>
    <t>MONP0147</t>
  </si>
  <si>
    <t>MONP0148</t>
  </si>
  <si>
    <t>MONP0149</t>
  </si>
  <si>
    <t>MONP0150</t>
  </si>
  <si>
    <t>MONP0151</t>
  </si>
  <si>
    <t>MONP0152</t>
  </si>
  <si>
    <t>MONP0153</t>
  </si>
  <si>
    <t>MONP0154</t>
  </si>
  <si>
    <t>MONP0155</t>
  </si>
  <si>
    <t>MONP0156</t>
  </si>
  <si>
    <t>MONP0157</t>
  </si>
  <si>
    <t>MONP0158</t>
  </si>
  <si>
    <t>MONP0159</t>
  </si>
  <si>
    <t>MONP0160</t>
  </si>
  <si>
    <t>MONP0161</t>
  </si>
  <si>
    <t>MONP0162</t>
  </si>
  <si>
    <t>MONP0163</t>
  </si>
  <si>
    <t>MONP0164</t>
  </si>
  <si>
    <t>MONP0165</t>
  </si>
  <si>
    <t>MONP0166</t>
  </si>
  <si>
    <t>MONP0167</t>
  </si>
  <si>
    <t>MONP0168</t>
  </si>
  <si>
    <t>MONP0169</t>
  </si>
  <si>
    <t>MONP0170</t>
  </si>
  <si>
    <t>MONP0171</t>
  </si>
  <si>
    <t>MONP0172</t>
  </si>
  <si>
    <t>MONP0173</t>
  </si>
  <si>
    <t>MONP0174</t>
  </si>
  <si>
    <t>MONP0175</t>
  </si>
  <si>
    <t>MONP0176</t>
  </si>
  <si>
    <t>MONP0177</t>
  </si>
  <si>
    <t>MONP0178</t>
  </si>
  <si>
    <t>MONP0179</t>
  </si>
  <si>
    <t>MONP0180</t>
  </si>
  <si>
    <t>MONP0181</t>
  </si>
  <si>
    <t>MONP0182</t>
  </si>
  <si>
    <t>MONP0183</t>
  </si>
  <si>
    <t>MONP0184</t>
  </si>
  <si>
    <t>MONP0185</t>
  </si>
  <si>
    <t>MONP0186</t>
  </si>
  <si>
    <t>MONP0187</t>
  </si>
  <si>
    <t>MONP0188</t>
  </si>
  <si>
    <t>MONP0189</t>
  </si>
  <si>
    <t>MONP0190</t>
  </si>
  <si>
    <t>MONP0191</t>
  </si>
  <si>
    <t>MONP0192</t>
  </si>
  <si>
    <t>MONP0193</t>
  </si>
  <si>
    <t>MONP0194</t>
  </si>
  <si>
    <t>MONP0195</t>
  </si>
  <si>
    <t>MONP0196</t>
  </si>
  <si>
    <t>MONP0197</t>
  </si>
  <si>
    <t>MONP0198</t>
  </si>
  <si>
    <t>MONP0199</t>
  </si>
  <si>
    <t xml:space="preserve">TRAMPA AGUA NPR </t>
  </si>
  <si>
    <t>TRAMPA AGUA MITSUBISHI CANTER</t>
  </si>
  <si>
    <t>VALVULA QUEMA GASES IZUZU</t>
  </si>
  <si>
    <t>DISCO NPR 21 ESTRIAS,MONRAS</t>
  </si>
  <si>
    <t>CRUCETA NPR 330 BULL</t>
  </si>
  <si>
    <t>CRUCETA NKR  329 BULL</t>
  </si>
  <si>
    <t>ESPARRAGO NPR TRASEROS DERECHO</t>
  </si>
  <si>
    <t>ESPARRAGO NPR TRASEROS DERECHO ECONOMICOS</t>
  </si>
  <si>
    <t>ESPARRAGO NPR  DELANTERO IZQUIERDO</t>
  </si>
  <si>
    <t>ESPARRAGO NPR DELANTERO DERECHO</t>
  </si>
  <si>
    <t>BASE FILTRO COMBUSTIBLE DOBLE</t>
  </si>
  <si>
    <t>BASE  FILTRO SENCILLO</t>
  </si>
  <si>
    <t>FILTRO ACEITE NPR</t>
  </si>
  <si>
    <t>FILTRO ACEITE CARGO 815</t>
  </si>
  <si>
    <t>FILTRO GASOIL CARGO 815</t>
  </si>
  <si>
    <t>FILTRO ACEITE CARGO 1721</t>
  </si>
  <si>
    <t>FILTRO ACEITE KODIAT</t>
  </si>
  <si>
    <t>KIT FILTRO ACEDELCO</t>
  </si>
  <si>
    <t>FILTRO AIRE CARGO 1721</t>
  </si>
  <si>
    <t>FILTRO AIRE CARGO 815</t>
  </si>
  <si>
    <t>FILTRO AIRE FVR CON TURBO</t>
  </si>
  <si>
    <t>FILTRO AIRE NPR 4HG1 CON TURBO</t>
  </si>
  <si>
    <t>FILTRO TRAMPA AGUA KODIAT</t>
  </si>
  <si>
    <t xml:space="preserve">FILTRO </t>
  </si>
  <si>
    <t>CORNETA AIRE 12/24 VOLTIOS  ELECTRALVULA</t>
  </si>
  <si>
    <t>CORNETA AIRE 12V. COMPRESOR</t>
  </si>
  <si>
    <t xml:space="preserve">ANSENADOR DE AIRE NPR </t>
  </si>
  <si>
    <t>TAPA BASE FILTRO AIRE NPR</t>
  </si>
  <si>
    <t>ESPEJOS RETROVISOR NPR</t>
  </si>
  <si>
    <t>TAPA ESPEJO NPR</t>
  </si>
  <si>
    <t>FARO STOP TRASERO NPR AÑO 92/93</t>
  </si>
  <si>
    <t>MOSCA LED 12/24 VOLTIOS</t>
  </si>
  <si>
    <t>FAROS LED CUADRADO, UNIVERSAL 12V</t>
  </si>
  <si>
    <t>MICAS TRIPLES TRASERAS REDONDAS 12V</t>
  </si>
  <si>
    <t>MICAS TRIPLE TRASERA CUADRADA 12V</t>
  </si>
  <si>
    <t xml:space="preserve">STOP LED  SENCILLO 12V </t>
  </si>
  <si>
    <t>STOP LED  SENCILLO 24V FIJO</t>
  </si>
  <si>
    <t>LUZ LED TECHO KODIAT</t>
  </si>
  <si>
    <t>LUZ LED REDONDA .BLANCA,ROJA,NARANJA, 24V</t>
  </si>
  <si>
    <t>FLECHAS 12V ,ROJA,NARANJA</t>
  </si>
  <si>
    <t xml:space="preserve">BASE PARA  FLECHAS </t>
  </si>
  <si>
    <t>BOTON , ROJA , NARANA</t>
  </si>
  <si>
    <t>LUZ LED TECHO TRITON.SUPER DUTY</t>
  </si>
  <si>
    <t>LUZ PORTA PLACA</t>
  </si>
  <si>
    <t>LATERAL 12V</t>
  </si>
  <si>
    <t>LATERAL24V</t>
  </si>
  <si>
    <t>LUZ TECHO MODELO VIEJO,ROJA,BLANCA,NARANJA 12V</t>
  </si>
  <si>
    <t>STOP SENCILLO LED 24V INTERMITENTE</t>
  </si>
  <si>
    <t>TAPA DEPOSITO AGUA NPR</t>
  </si>
  <si>
    <t>MANILLA ELEVA VIDRIO NPR</t>
  </si>
  <si>
    <t>TUERCA TUNEL</t>
  </si>
  <si>
    <t xml:space="preserve">MANGUERA VACIO ALTERNADOR </t>
  </si>
  <si>
    <t>ASPA 10 PALETA</t>
  </si>
  <si>
    <t>BASE MOTOR NPR DER.</t>
  </si>
  <si>
    <t>BUJE MAESTRA PEQUEÑO NPR</t>
  </si>
  <si>
    <t>LUCES LATERAL NEON 12 V</t>
  </si>
  <si>
    <t>LUCES DELANTERAS TRITON 12 V</t>
  </si>
  <si>
    <t>BUJE BOMBA ACEITE NPR,4HG1,4HF1,6HH1,4HK1</t>
  </si>
  <si>
    <t>TOBERA INYECTOR NPR 4HG1 ZEXEL</t>
  </si>
  <si>
    <t>TOBERA INYECTOR NPR 4HF1 ZEXEL</t>
  </si>
  <si>
    <t>MONP0200</t>
  </si>
  <si>
    <t>TOBERA INYECTOR NPR 6HH1</t>
  </si>
  <si>
    <t>MONP0201</t>
  </si>
  <si>
    <t>MONP0202</t>
  </si>
  <si>
    <t>MONP0203</t>
  </si>
  <si>
    <t>MONP0204</t>
  </si>
  <si>
    <t>MONP0205</t>
  </si>
  <si>
    <t>MONP0206</t>
  </si>
  <si>
    <t>MONP0207</t>
  </si>
  <si>
    <t>BUJE BROCE ENCAVA N# 30</t>
  </si>
  <si>
    <t>FLOTANTE CONBUSTIBLE NPR,NKR</t>
  </si>
  <si>
    <t>PRENSA NPR 14 ESTRIAS.MONRAS 2005 - ADELANTE</t>
  </si>
  <si>
    <t>DIAFRAGMA DE 16</t>
  </si>
  <si>
    <t>DIAFRAGMA DE 24</t>
  </si>
  <si>
    <t>MONP0208</t>
  </si>
  <si>
    <t>MONP0209</t>
  </si>
  <si>
    <t>MONP0210</t>
  </si>
  <si>
    <t>ALTERNADOR NPR 24V.GAMMA 45 AMPERIOS</t>
  </si>
  <si>
    <t>ALTERNADOR NPR 12V. GAMMA 80 AMPERIOS</t>
  </si>
  <si>
    <t>MONP0211</t>
  </si>
  <si>
    <t>ALTERNADOR GAMMA NPR 24V 80 AMPERIOS</t>
  </si>
  <si>
    <t>MONP0212</t>
  </si>
  <si>
    <t xml:space="preserve">EMPACADURA TAPA VALVULA 4HG1 </t>
  </si>
  <si>
    <t xml:space="preserve">MONP0213 </t>
  </si>
  <si>
    <t>MONP0214</t>
  </si>
  <si>
    <t>MONP0215</t>
  </si>
  <si>
    <t>DEPOSITO DE AGUA NPR</t>
  </si>
  <si>
    <t>MONP0216</t>
  </si>
  <si>
    <t>BOMBIN PRINCIPAL BWB</t>
  </si>
  <si>
    <t>ANILLOS 4HG1 (NPR) STD</t>
  </si>
  <si>
    <t>ANILLOS NKR (NPR) STD</t>
  </si>
  <si>
    <t>ANILLOS 4HG1 (IZUZU) STD</t>
  </si>
  <si>
    <t>MICAS TRIPLE TRASERA CUADRADA 24V</t>
  </si>
  <si>
    <t>MONP0218</t>
  </si>
  <si>
    <t>MONP0219</t>
  </si>
  <si>
    <t>CONCHAS BIELA STD 4HG1/4HF1/6HH1  (TAIHO)</t>
  </si>
  <si>
    <t>MONP0220</t>
  </si>
  <si>
    <t>MONP0221</t>
  </si>
  <si>
    <t>MONP0222</t>
  </si>
  <si>
    <t xml:space="preserve">GUAYA ACELERADOR NPR </t>
  </si>
  <si>
    <t>MONP0224</t>
  </si>
  <si>
    <t>TUBO TURBO SALIDA AGUA NPR</t>
  </si>
  <si>
    <t>MONP0225</t>
  </si>
  <si>
    <t xml:space="preserve">BOCINA TRASERA NPR </t>
  </si>
  <si>
    <t>MONP0226</t>
  </si>
  <si>
    <t>MONP0227</t>
  </si>
  <si>
    <t>CONCHA DE BIELA STD DAIDO METAL 4HF1 4HG1 6HH1</t>
  </si>
  <si>
    <t>MONP0228</t>
  </si>
  <si>
    <t>FILTRO GASOIL GEMELOS ALTOS PARTMO</t>
  </si>
  <si>
    <t>MONP0229</t>
  </si>
  <si>
    <t>RETEN RUEDA DELANTERO ENCAVA C/U</t>
  </si>
  <si>
    <t>CONCHA DE LEVA 4HF1/4HG1 (YAIHO)</t>
  </si>
  <si>
    <t>MONP0230</t>
  </si>
  <si>
    <t>CONCHA DE LEVA 4HF1/4HG1 (DAIDO METAL)</t>
  </si>
  <si>
    <t>STOP NEON 24V (NUEVO Y VIEJO)</t>
  </si>
  <si>
    <t>MONP0231</t>
  </si>
  <si>
    <t>MONP0232</t>
  </si>
  <si>
    <t>MONP0233</t>
  </si>
  <si>
    <t>MONP0234</t>
  </si>
  <si>
    <t>MONP0235</t>
  </si>
  <si>
    <t>MONP0236</t>
  </si>
  <si>
    <t>MONP0237</t>
  </si>
  <si>
    <t>MONP0238</t>
  </si>
  <si>
    <t>MONP0239</t>
  </si>
  <si>
    <t>MONP0240</t>
  </si>
  <si>
    <t>ESPARRAGO TRASERO DERECHO ENCAVA/FVR</t>
  </si>
  <si>
    <t>ESPARRAGO TRASERO IZQ ENCAVA/FVR</t>
  </si>
  <si>
    <t>ESPARRAGO DELANTERO DERECHO ENCAVA/FVR</t>
  </si>
  <si>
    <t>ESPARRAGO DELANTERO IZQ ENCAVA/FVR</t>
  </si>
  <si>
    <t>CATRI TURBO NKR CRONOS</t>
  </si>
  <si>
    <t xml:space="preserve">ARRANQUE 12 VOLTIOS 11 DIENTES </t>
  </si>
  <si>
    <t>CHAPALETAS DE GARRA NPR C/U</t>
  </si>
  <si>
    <t>DISCO NPR 14 ESTRIAS, TRANS EJE Y MONRAS</t>
  </si>
  <si>
    <t>COLLARIN HUECO GRANDE 2005 - ADELANTE</t>
  </si>
  <si>
    <t>CHAPALETAS DELANTERAS NPR (UNIDAD)</t>
  </si>
  <si>
    <t>MONP0241</t>
  </si>
  <si>
    <t xml:space="preserve">CONCHA BANCADA 0.25/0.10 DAIDO </t>
  </si>
  <si>
    <t>MONP0242</t>
  </si>
  <si>
    <t>CRUCETA 351 CAMION C70/ FORD 600</t>
  </si>
  <si>
    <t>MONP0243</t>
  </si>
  <si>
    <t>MONP0244</t>
  </si>
  <si>
    <t>BASE MOTOR NPR IZQ C/U</t>
  </si>
  <si>
    <t>FILTRO GASOIL ENCAVA</t>
  </si>
  <si>
    <t>TUBO AGUA  ENTRADA TURBO NPR Z</t>
  </si>
  <si>
    <t>CONCHAS BIELA NKR 0.25/0.10 TAIHO</t>
  </si>
  <si>
    <t>MONP0246</t>
  </si>
  <si>
    <t>MONP0247</t>
  </si>
  <si>
    <t>PISTONES NPR 4HG1 ISUMI</t>
  </si>
  <si>
    <t>LINER KIT NPR SIN TURBO 4HF1</t>
  </si>
  <si>
    <t xml:space="preserve">LINER KIT NPR 4HG1 CON TURBO </t>
  </si>
  <si>
    <t>MONP0248</t>
  </si>
  <si>
    <t xml:space="preserve">MANILLA EXTERIOR DERECHA </t>
  </si>
  <si>
    <t>MONP0249</t>
  </si>
  <si>
    <t>MANILLA EXTERIOR IZQUIERDA</t>
  </si>
  <si>
    <t>MONP0250</t>
  </si>
  <si>
    <t xml:space="preserve">ANILLO 4HF1 (NPR) </t>
  </si>
  <si>
    <t>MONP0251</t>
  </si>
  <si>
    <t>LUZ Semaforo pequeña C/U</t>
  </si>
  <si>
    <t xml:space="preserve">STOP NEON 12V (NUEVO Y VIEJO) (VIEJO CARGO) </t>
  </si>
  <si>
    <t>MONP0252</t>
  </si>
  <si>
    <t xml:space="preserve">BOMBA HIDRAULICA NPR </t>
  </si>
  <si>
    <t>MONP0254</t>
  </si>
  <si>
    <t xml:space="preserve">ROLINERA DEL PLATO KOYO </t>
  </si>
  <si>
    <t>MONP0255</t>
  </si>
  <si>
    <t>TUBO DE INYECTOR NPR</t>
  </si>
  <si>
    <t>MONP0256</t>
  </si>
  <si>
    <t>GUAYA ACELERADOR CORTA NPR</t>
  </si>
  <si>
    <t xml:space="preserve">MONP0257 </t>
  </si>
  <si>
    <t>PUNTA DE EJE 20 ESTRIAS NPR</t>
  </si>
  <si>
    <t>KIT FILTRO PARTMO FILTOR LARGO</t>
  </si>
  <si>
    <t>MONP0258</t>
  </si>
  <si>
    <t xml:space="preserve">ROLINERA SPEED PILOTO PEQUEÑA KOYO </t>
  </si>
  <si>
    <t>MONPO0259</t>
  </si>
  <si>
    <t xml:space="preserve">ROLINERA SPEED PILOTO PEQUEÑA NSK </t>
  </si>
  <si>
    <t>CORREA COMPRESOR NPR B41 LISAS</t>
  </si>
  <si>
    <t>CORREA COMPRESOR NPR B42 LISAS</t>
  </si>
  <si>
    <t>CORREA COMPRESOR NPR B43 LISAS</t>
  </si>
  <si>
    <t>MONP0260</t>
  </si>
  <si>
    <t>MONP0261</t>
  </si>
  <si>
    <t>MONP0262</t>
  </si>
  <si>
    <t>MANIQUI DE LUCES NPR/NKR</t>
  </si>
  <si>
    <t>MONP0263</t>
  </si>
  <si>
    <t>RETEN TRASERO CIGÜEÑAL NPR ECONOMICO</t>
  </si>
  <si>
    <t>MONP0264</t>
  </si>
  <si>
    <t>BOMBA AGUA NPR. 4HG1/4HF1 ECONIMICA</t>
  </si>
  <si>
    <t>MONP0265</t>
  </si>
  <si>
    <t>FILTRO GASOIL BAJO  MOTOR IFL</t>
  </si>
  <si>
    <t>GUAYA CAMBIO NPR</t>
  </si>
  <si>
    <t>MONP0266</t>
  </si>
  <si>
    <t>AMORTIGUADOR TRASERO NPR, SUPER DUTY, FORTUNER MONROE</t>
  </si>
  <si>
    <t>MONP0267</t>
  </si>
  <si>
    <t>AMORTIGUADOR DELANTERO NPR, SUPER DUTY, FORTUNER MONROE</t>
  </si>
  <si>
    <t>MONP0268</t>
  </si>
  <si>
    <t>MONP0269</t>
  </si>
  <si>
    <t>MONP0270</t>
  </si>
  <si>
    <t>EMPAQUE TAPA VALVULA 4HF1</t>
  </si>
  <si>
    <t>MONP0271</t>
  </si>
  <si>
    <t>BRAZO DE BIELA 4HG1/4HF1</t>
  </si>
  <si>
    <t>MONP0272</t>
  </si>
  <si>
    <t>EMPAQUE CARTER GRUESO 4HG1</t>
  </si>
  <si>
    <t xml:space="preserve">MONP0273 </t>
  </si>
  <si>
    <t>MOTOR APAGADO NPR</t>
  </si>
  <si>
    <t>MONP0274</t>
  </si>
  <si>
    <t>MOTOR APAGADO NPR ISUZU</t>
  </si>
  <si>
    <t>MONP0275</t>
  </si>
  <si>
    <t xml:space="preserve">LUCES LATERAL NUEVA 1024A </t>
  </si>
  <si>
    <t>LUCES REDONDAS NEON 12 V 2 PULGADAS</t>
  </si>
  <si>
    <t>MONP0276</t>
  </si>
  <si>
    <t>CONCHA BANCADA STD NKR DAIDO METAL</t>
  </si>
  <si>
    <t>MONP0277</t>
  </si>
  <si>
    <t xml:space="preserve">CONCHA DE BIELA STD DAIDO METAL NKR </t>
  </si>
  <si>
    <t>MONP0278</t>
  </si>
  <si>
    <t>MONP0279</t>
  </si>
  <si>
    <t xml:space="preserve">GUARDAPOLVO CONTROL DE CAMBIO NPR </t>
  </si>
  <si>
    <t>MONP0280</t>
  </si>
  <si>
    <t>INYECTORES 4HG1 ZEXEL</t>
  </si>
  <si>
    <t>MONP0281</t>
  </si>
  <si>
    <t>TUBO LUBRICACION BOMBA INYECCION 3 HUECOS</t>
  </si>
  <si>
    <t>MONP0282</t>
  </si>
  <si>
    <t>BOMBIN AUXILIAR BGF</t>
  </si>
  <si>
    <t>MONP0283</t>
  </si>
  <si>
    <t>CRUCETA 330 NPR GMB</t>
  </si>
  <si>
    <t>TAPA TANQUE GASOIL</t>
  </si>
  <si>
    <t>PUENTE CARDAN KTC 1721 CARGO, KODIAT 45MM</t>
  </si>
  <si>
    <t>MONP0284</t>
  </si>
  <si>
    <t>MONP0285</t>
  </si>
  <si>
    <t>ESPEJOS KODIAT KTC</t>
  </si>
  <si>
    <t>RODAMIENTO SKF DELANTERO INTERNO NPR 32210</t>
  </si>
  <si>
    <t>MONP0286</t>
  </si>
  <si>
    <t xml:space="preserve">RODAMIENTO ICHIVAN 32210 </t>
  </si>
  <si>
    <t>MONP0287</t>
  </si>
  <si>
    <t>MONP0288</t>
  </si>
  <si>
    <t>CONCHA BANCADA 0,10 NKR DAIDO METAL</t>
  </si>
  <si>
    <t>MONP0289</t>
  </si>
  <si>
    <t>CONCHA BIELA 0,10 NKR DAIDO METAL</t>
  </si>
  <si>
    <t>MONP0290</t>
  </si>
  <si>
    <t>BOMBIN PRINCIPAL BGF</t>
  </si>
  <si>
    <t>MONP0291</t>
  </si>
  <si>
    <t xml:space="preserve">MONP0292 </t>
  </si>
  <si>
    <t>FARO STOP DELANTERO NPR AÑO 92/93</t>
  </si>
  <si>
    <t>MONP0293</t>
  </si>
  <si>
    <t>PULMONES FRENOS NPR 30/30</t>
  </si>
  <si>
    <t xml:space="preserve">MONP0294 </t>
  </si>
  <si>
    <t>CONJUNTO DE FRENO DE MANO NPR</t>
  </si>
  <si>
    <t>GUARDAPOLVO ORINOCO GRANDE</t>
  </si>
  <si>
    <t>MONP0295</t>
  </si>
  <si>
    <t>GUARDAPOLVO ORINOCO PEQUEÑO</t>
  </si>
  <si>
    <t>MONP0296</t>
  </si>
  <si>
    <t>GRIFO PARABRISAS NPR/NKR</t>
  </si>
  <si>
    <t xml:space="preserve">EMPACADURA 5 LAMINAS 4HF1 </t>
  </si>
  <si>
    <t>MONP0297</t>
  </si>
  <si>
    <t>MONP0298</t>
  </si>
  <si>
    <t>MONP0299</t>
  </si>
  <si>
    <t>MICA TRIPLE NEON (PAR) 1040 ST</t>
  </si>
  <si>
    <t>LUZ LED REDONDA .BLANCA,ROJA,NARANJA, 12V 1007</t>
  </si>
  <si>
    <t>LUZ REDONDA MULTIVOLTAJE 4 PULGADAS NEON 1030</t>
  </si>
  <si>
    <t>MONP0304</t>
  </si>
  <si>
    <t>MICA TRIPLE NEON (PAR) 1040 STR</t>
  </si>
  <si>
    <t>MONP0301</t>
  </si>
  <si>
    <t>RETEN RUEDA TRASERO ENCAVA SENCILLO 610 C/U</t>
  </si>
  <si>
    <t>RETEN RUEDA TRASERO ENCAVA NO SENCILLO C/U</t>
  </si>
  <si>
    <t>MONP0300</t>
  </si>
  <si>
    <t>MONP0303</t>
  </si>
  <si>
    <t xml:space="preserve">TUBO VARILLA ACEITE FUNDA 4HG1 </t>
  </si>
  <si>
    <t>MONP0305</t>
  </si>
  <si>
    <t>VARILLA ACEITE</t>
  </si>
  <si>
    <t xml:space="preserve">VALVULA PRESION DE ESPICHE </t>
  </si>
  <si>
    <t>EMPACADURA 5 LAMINAS 4HG1 ECONOMICA</t>
  </si>
  <si>
    <t>MONP0302</t>
  </si>
  <si>
    <t>GUAYA ACELERADOR MITSUBISHI CANTER</t>
  </si>
  <si>
    <t>MONP0306</t>
  </si>
  <si>
    <t>PULMONES FRENOS NPR 24/24</t>
  </si>
  <si>
    <t>FILTRO GASOIL BAJO GEMELOS CAJA AZUL</t>
  </si>
  <si>
    <t>MONP0307</t>
  </si>
  <si>
    <t>RETEN TRASERO INTERNO FVR</t>
  </si>
  <si>
    <t>MONP0308</t>
  </si>
  <si>
    <t>MONP0309</t>
  </si>
  <si>
    <t>MONP0310</t>
  </si>
  <si>
    <t>CARRETO PULMON NPR 16/24</t>
  </si>
  <si>
    <t>RODAMIENTO FVR DELANTERO EXTERNO KOYO</t>
  </si>
  <si>
    <t>RODAMIENTO FVR DELANTERO INTERNO KOYO</t>
  </si>
  <si>
    <t>RODAMIENTO FVR TRASERO EXTERNO KOYO</t>
  </si>
  <si>
    <t>MONP0311</t>
  </si>
  <si>
    <t>RODAMIENTO FVR TRASERO INTERNO KOYO</t>
  </si>
  <si>
    <t>MONP0312</t>
  </si>
  <si>
    <t>MONP0313</t>
  </si>
  <si>
    <t>DIAFRAGMA 20"</t>
  </si>
  <si>
    <t>MONP0314</t>
  </si>
  <si>
    <t>FARO DELANTERO IZQ-DER NPR 2006-2012 C/U</t>
  </si>
  <si>
    <t>MONP0315</t>
  </si>
  <si>
    <t>BUJE TORNILLO TAPA VALVULA 4HF1/4HG1</t>
  </si>
  <si>
    <t>MONP0316</t>
  </si>
  <si>
    <t>MONP0317</t>
  </si>
  <si>
    <t xml:space="preserve">FAN CLUTCH NPR (GMB) </t>
  </si>
  <si>
    <t>MONP0318</t>
  </si>
  <si>
    <t>VALVULA CHILLONA NPR</t>
  </si>
  <si>
    <t>RETEN RUEDA TRASERA INTERNA SIN TURBO SNA</t>
  </si>
  <si>
    <t>RETEN CIGÜEÑAL DELANTERO 4HG1 ISUZU NPR GENERICO</t>
  </si>
  <si>
    <t>RETEN CIGÜEÑAL DELANTERO 4HG1 ISUZU NPR ORIGINAL</t>
  </si>
  <si>
    <t>EMPACADURA CAMARA 5 LAMINAS 4HG1. IZUZU</t>
  </si>
  <si>
    <t>MONP0319</t>
  </si>
  <si>
    <t>MONP0320</t>
  </si>
  <si>
    <t>FILTRO GASOIL BAJO MOTOR PARTMO</t>
  </si>
  <si>
    <t>MONP0321</t>
  </si>
  <si>
    <t>HIERRO FRENO 4HG1</t>
  </si>
  <si>
    <t>MONP0322</t>
  </si>
  <si>
    <t>MONP0323</t>
  </si>
  <si>
    <t>MONP0324</t>
  </si>
  <si>
    <t>MONP0325</t>
  </si>
  <si>
    <t>CORREA ALTERNADOR NPR 17420 CMB</t>
  </si>
  <si>
    <t xml:space="preserve">CORREA ALTERNADOR NPR 17420 DONGIL SUPER STAR </t>
  </si>
  <si>
    <t>KIT EMPACADURAS NKR</t>
  </si>
  <si>
    <t>VALVULA ESCAPE (55$ TODAS)</t>
  </si>
  <si>
    <t>VALVULA ADMISION (55$ TODAS)</t>
  </si>
  <si>
    <t>RETEN CIGÜEÑAL DELANTERO NKR</t>
  </si>
  <si>
    <t>RETEN CIGÜEÑAL TRASERO NKR</t>
  </si>
  <si>
    <t>CORREA ALTERNADOR ENCAVA.HINO.FVR  DAYCO</t>
  </si>
  <si>
    <t>MONP0326</t>
  </si>
  <si>
    <t>MONP0327</t>
  </si>
  <si>
    <t>MONP0328</t>
  </si>
  <si>
    <t>MONP0329</t>
  </si>
  <si>
    <t>MONP0330</t>
  </si>
  <si>
    <t>MONP0331</t>
  </si>
  <si>
    <t>BASE CAJA NPR</t>
  </si>
  <si>
    <t>COLLARIN HUECO PEQUEÑO 1993-2004 USA</t>
  </si>
  <si>
    <t>SERPENTIN ENFRIAMIENTO ACEITE</t>
  </si>
  <si>
    <t>RETEN TRASERO INTERNO NPR SIN TURBO</t>
  </si>
  <si>
    <t>MONP0332</t>
  </si>
  <si>
    <t>MONP0333</t>
  </si>
  <si>
    <t>RETEN CAJA CHOROTE 4HG1</t>
  </si>
  <si>
    <t>MONP0334</t>
  </si>
  <si>
    <t>MONP0335</t>
  </si>
  <si>
    <t>MONP0336</t>
  </si>
  <si>
    <t>MONP0337</t>
  </si>
  <si>
    <t>PILA GASOLINA PATA ELEFANTE SUPER DUTY</t>
  </si>
  <si>
    <t>PILA GASOLINA 2068 TRITON</t>
  </si>
  <si>
    <t xml:space="preserve">FILTRO LINEA  DE GASOLINA TRITON </t>
  </si>
  <si>
    <t>MONP0338</t>
  </si>
  <si>
    <t>BARRA CORTA DIRECCION NKR</t>
  </si>
  <si>
    <t>MONP0339</t>
  </si>
  <si>
    <t>SELENOIDE BOMBA INYECCION NKR</t>
  </si>
  <si>
    <t>MONP0340</t>
  </si>
  <si>
    <t>EMPACADURA MULTIPLE ESCAPE 4HG1</t>
  </si>
  <si>
    <t>MONP0341</t>
  </si>
  <si>
    <t>MONP0342</t>
  </si>
  <si>
    <t>YUGO ACOPLE ROSCA CARDAN NPR/NQR</t>
  </si>
  <si>
    <t>MONP0343</t>
  </si>
  <si>
    <t>RODAMIENTO SPEED TRANSMISION PEQUEÑA 30309 KOYO</t>
  </si>
  <si>
    <t>MONP0344</t>
  </si>
  <si>
    <t>RODAMIENTO SPEED TRANSMISION GRANDE 30310 KOYO</t>
  </si>
  <si>
    <t>MONP0345</t>
  </si>
  <si>
    <t>LINER KIT NKR/NHR</t>
  </si>
  <si>
    <t>TRAMPA DE AGUA NPR/NKR LUXE</t>
  </si>
  <si>
    <t>MONP0346</t>
  </si>
  <si>
    <t>VALVULA PERA REVERSA NEUTRO NPR/NQR/FRR</t>
  </si>
  <si>
    <t xml:space="preserve">CRUCETA 330 NPR BUFFALO </t>
  </si>
  <si>
    <t>MONP0347</t>
  </si>
  <si>
    <t>ARANDELA ARAÑA TUNEL NPR</t>
  </si>
  <si>
    <t>MONP0348</t>
  </si>
  <si>
    <t>MANGUERA TURBO AGUA "U"</t>
  </si>
  <si>
    <t>TOPE MUELLE AUXILIAR TRASERO NPR/NKR C/U</t>
  </si>
  <si>
    <t>MONP0349</t>
  </si>
  <si>
    <t>GUAYA DE FRENO DE MANO 4HF1</t>
  </si>
  <si>
    <t xml:space="preserve">FAN CLUTCH NPR G1/F1 (NPW) </t>
  </si>
  <si>
    <t>MONP0350</t>
  </si>
  <si>
    <t>RODAMIENTO KOYO PILOTO TRANSMISION 19980</t>
  </si>
  <si>
    <t>CONCHAS BANCADA 0.10/0.25 4HG1/4HF1/6HH1 (DAIDO METAL)</t>
  </si>
  <si>
    <t>MONP0351</t>
  </si>
  <si>
    <t>KIT EMPACADURAS 4HG1 TONYCO</t>
  </si>
  <si>
    <t>PISTON 4HG1 NPR (80 LA UNIDAD)</t>
  </si>
  <si>
    <t>VALVULA FRENO  MANO  MACHIMBRE</t>
  </si>
  <si>
    <t xml:space="preserve">CORREA ALTERNADOR 17420 NPR DAYCO </t>
  </si>
  <si>
    <t>MONP0352</t>
  </si>
  <si>
    <t>RETEN ALTERNADOR NPR/NKR/NHR</t>
  </si>
  <si>
    <t>MONP0353</t>
  </si>
  <si>
    <t>MANGUERA BYPASS NPR 4HG1</t>
  </si>
  <si>
    <t>GUAYA CAMBIO NKR</t>
  </si>
  <si>
    <t>MONP0354</t>
  </si>
  <si>
    <t>GUAYA PARE NEUTRO REVERSA</t>
  </si>
  <si>
    <t>EMPACADURA CAMARA 5 LAMINAS 4HG1. TONYCO/SONYCO</t>
  </si>
  <si>
    <t>GOMA VALVULA NPR 4HG1/4HF1 ECONOMICA (PAQUETE 4 UNIDADES)</t>
  </si>
  <si>
    <t>MONP0355</t>
  </si>
  <si>
    <t>MONP0356</t>
  </si>
  <si>
    <t>MONP0357</t>
  </si>
  <si>
    <t>GUIA VALVULA GENERICA 4HG1/4HF1/FVR</t>
  </si>
  <si>
    <t>GUIA VALVULA ORIGINAL 4HG1/4HF1/FVR</t>
  </si>
  <si>
    <t xml:space="preserve">KIT EMPACADURAS 4HF1 </t>
  </si>
  <si>
    <t>MONP0358</t>
  </si>
  <si>
    <t xml:space="preserve">BARRA DIRECCION CORTA NPR </t>
  </si>
  <si>
    <t>BARRA DIRECCION CORTA NPR WANG YU</t>
  </si>
  <si>
    <t>MONP0359</t>
  </si>
  <si>
    <t>MONP0360</t>
  </si>
  <si>
    <t xml:space="preserve">BOMBIN PRINCIPAL NPR DR.BEST </t>
  </si>
  <si>
    <t>MONP0361</t>
  </si>
  <si>
    <t>MONP0362</t>
  </si>
  <si>
    <t>BOMBIN AUXILIAR NPR FC</t>
  </si>
  <si>
    <t>BANDAS FRENOS NPR DEL/TRAS (PAR)</t>
  </si>
  <si>
    <t>BANDAS FRENOS DE LIGA NPR (PAR)</t>
  </si>
  <si>
    <t>BANDAS FRENO 4515 ENCAVA/MAC/KODIAT (PAR)</t>
  </si>
  <si>
    <t>BANDA FRENO LIGA TRASERA ENCAVA (PAR)</t>
  </si>
  <si>
    <t>BANDA FRENO LIGA DELANTERA ENCAVA (PAR)</t>
  </si>
  <si>
    <t>MONP0363</t>
  </si>
  <si>
    <t>MONP0364</t>
  </si>
  <si>
    <t>TOPE MUELLE PRINCIPAL NPR</t>
  </si>
  <si>
    <t>RETEN RUEDA TRASERO EXTERNO NPR FRENO AIRE</t>
  </si>
  <si>
    <t xml:space="preserve">RETEN RUEDA TRASERA EXTERNA 4HG1/4HF1 NPR SNA </t>
  </si>
  <si>
    <t>MOMP0365</t>
  </si>
  <si>
    <t>MONP0366</t>
  </si>
  <si>
    <t>MONP0367</t>
  </si>
  <si>
    <t>CORREA B41 ACANALADA BETTERLINE</t>
  </si>
  <si>
    <t>CORREA B44 ACANALADA BETTERLINE</t>
  </si>
  <si>
    <t>MONP0368</t>
  </si>
  <si>
    <t>CORREA B42 ACANALADA BETTERLINE</t>
  </si>
  <si>
    <t>MONP0369</t>
  </si>
  <si>
    <t>ESTRIBO IZQUIERDO NPR</t>
  </si>
  <si>
    <t>MONP0370</t>
  </si>
  <si>
    <t xml:space="preserve">FILTRO ACEITE NKR/NHR </t>
  </si>
  <si>
    <t>FILTRO AIRE NPR 4HF1 SIN TURBO/NKR/NHR</t>
  </si>
  <si>
    <t>MONP0371</t>
  </si>
  <si>
    <t>KIT SERPENTIN ENFRIAMIENTO ACEITE</t>
  </si>
  <si>
    <t>BASE FILTRO ACEITE NPR</t>
  </si>
  <si>
    <t>MICAS TRIPLE TRASERA 12V INNOVA 1016 ST</t>
  </si>
  <si>
    <t>CAMISA MAHLE 4HG1 (UNIDAD 55$)</t>
  </si>
  <si>
    <t>MONP0365</t>
  </si>
  <si>
    <t>LINER KIT 4HG1 MAHLE</t>
  </si>
  <si>
    <t>ESTRIBO DERECHO NPR</t>
  </si>
  <si>
    <t>HEMBRA Y MACHO NPR SPICER</t>
  </si>
  <si>
    <t>YUGO FIJO CARDAN NPR G1 SPICER</t>
  </si>
  <si>
    <t>KIT YUGO ESPIGA Y BOTELLA NPR SPICER</t>
  </si>
  <si>
    <t>CAMISA GP 4HG1 (UNIDAD 45$)</t>
  </si>
  <si>
    <t>BOMBA AGUA NGP</t>
  </si>
  <si>
    <t>MONP0372</t>
  </si>
  <si>
    <t>BOMBIN PRINCIPAL PREMIUN PLUS NPR</t>
  </si>
  <si>
    <t>MONP0373</t>
  </si>
  <si>
    <t>VALVULA GRIFO DRENAJE NPR</t>
  </si>
  <si>
    <t>MONP0374</t>
  </si>
  <si>
    <t>PUENTE CARDAN KTC NPR/NKR</t>
  </si>
  <si>
    <t>MONP0375</t>
  </si>
  <si>
    <t>ASPA 8 PALETA NKR/4JB1</t>
  </si>
  <si>
    <t>MONP0376</t>
  </si>
  <si>
    <t>MONP0377</t>
  </si>
  <si>
    <t>MANGUERA ADMISION MOTOR TURBO</t>
  </si>
  <si>
    <t>TUBO BOMBA INYECCION ANZUELO</t>
  </si>
  <si>
    <t>MONP0378</t>
  </si>
  <si>
    <t>ALTERNADOR NPR 12V GAMMA 60 AMPERIOS NKR/NHR</t>
  </si>
  <si>
    <t xml:space="preserve">TERMOSTATO BAJO </t>
  </si>
  <si>
    <t xml:space="preserve">TERMOSTATO ALTO </t>
  </si>
  <si>
    <t>CATRI TURBO NPR CRONOS</t>
  </si>
  <si>
    <t>BOMBIN UNIVERSAL FVR BOSCH ORIGINAL</t>
  </si>
  <si>
    <t>MONP0379</t>
  </si>
  <si>
    <t>AXIAL 0,10 4HG1/4HF1/6HH1 (NDC/DAIDO METAL)</t>
  </si>
  <si>
    <t>COLLARIN HUECO PEQUEÑO 1993-2004 UNIFAR</t>
  </si>
  <si>
    <t>CRUCETA 330 NPR/TRITON/DUTY SPICER</t>
  </si>
  <si>
    <t>MONP0380</t>
  </si>
  <si>
    <t>MONP0381</t>
  </si>
  <si>
    <t>KIT LAINAS AJUSTES SATELITES Y PLANETARIOS NPR MODELO VIEJO</t>
  </si>
  <si>
    <t>MONP0382</t>
  </si>
  <si>
    <t>RODAMIENTO 28680 PEQUEÑO SPICER NPR</t>
  </si>
  <si>
    <t>RODAMIENTO 29586 GRANDE SPICER NPR</t>
  </si>
  <si>
    <t>MONP0383</t>
  </si>
  <si>
    <t xml:space="preserve">GUAYA CEBADOR NKR </t>
  </si>
  <si>
    <t>PUENTE CARDAN NPR SPICER</t>
  </si>
  <si>
    <t xml:space="preserve">EMPACDURA 7 LAMINAS 4HG1 </t>
  </si>
  <si>
    <t>MONP0384</t>
  </si>
  <si>
    <t>EMPACADURA CAMARA NKR/NHR 2 HUECOS</t>
  </si>
  <si>
    <t>EMPACADURA CAMARA NKR/NHR 3 HUECOS</t>
  </si>
  <si>
    <t>MONP0385</t>
  </si>
  <si>
    <t>MONP0386</t>
  </si>
  <si>
    <t>SENSOR REVOLUCIONES ISUZU NPR</t>
  </si>
  <si>
    <t>CRUCETA 330 NPR HYW/SALINCO</t>
  </si>
  <si>
    <t>PRENSA 21 ESTRIAS 4BD1</t>
  </si>
  <si>
    <t>MONP0387</t>
  </si>
  <si>
    <t>BOMBA AGUA NPR. 4HG1/4HF1 NPW</t>
  </si>
  <si>
    <t>MONP0388</t>
  </si>
  <si>
    <t>RODAMIENTO  DELANTERA ENCAVA 31310 INTERNA GRANDE ECONOMICA</t>
  </si>
  <si>
    <t xml:space="preserve">RODAMIENTO KOYO PILOTO TRASMISION ORIGINAL </t>
  </si>
  <si>
    <t>MONP0389</t>
  </si>
  <si>
    <t>CILINDRO FRENO DELANTERO DERECHO NPR</t>
  </si>
  <si>
    <t>CILINDRO FRENO DELANTERO IZQUIERDO NPR</t>
  </si>
  <si>
    <t>CILINDRO FRENO TRASERO DERECHO NPR</t>
  </si>
  <si>
    <t>CILINDRO FRENO TRASERO IZQUIERDO NPR</t>
  </si>
  <si>
    <t>MONP0390</t>
  </si>
  <si>
    <t>MONP0391</t>
  </si>
  <si>
    <t>MONP0392</t>
  </si>
  <si>
    <t>MONP0393</t>
  </si>
  <si>
    <t>MONP0394</t>
  </si>
  <si>
    <t>TRAPECIO CONTROL CAMBIO NPR/NKR</t>
  </si>
  <si>
    <t>MONP0395</t>
  </si>
  <si>
    <t xml:space="preserve">BUJIA TRITON/TAHOE/GRAND BLAZER </t>
  </si>
  <si>
    <t>BOMBIN DE INYECCION UNIVERSAL NPR</t>
  </si>
  <si>
    <t>RETEN RUEDA TRASERA GIRATORIA NPR   ECONOMICA</t>
  </si>
  <si>
    <t xml:space="preserve">RETEN GIRATORIO KODIA </t>
  </si>
  <si>
    <t>MONP0396</t>
  </si>
  <si>
    <t>HEMBRA Y MACHO NPR ECONOMICO</t>
  </si>
  <si>
    <t>MONP0397</t>
  </si>
  <si>
    <t>RODAMIENTO ALTERNADOR PEQUEÑO</t>
  </si>
  <si>
    <t>MONP0398</t>
  </si>
  <si>
    <t>RODAMIENTO ALTERNADOR GRANDE</t>
  </si>
  <si>
    <t>COMPRESOR AIRE NPR ENFRIADO POR AIRE VADEN</t>
  </si>
  <si>
    <t>MONP0399</t>
  </si>
  <si>
    <t>MONP0400</t>
  </si>
  <si>
    <t>ALFOMBRA PISO SUPER DUTY</t>
  </si>
  <si>
    <t>EMPACADURA CAMARA 3 LAMINAS 4HG1</t>
  </si>
  <si>
    <t>RODAMIENTO BALL Y ROLLER DELANTERO EXTERNO NPR 32207</t>
  </si>
  <si>
    <t xml:space="preserve">TAPA RADIADOR ENCAVA 7 LIBRAS </t>
  </si>
  <si>
    <t>MONP0401</t>
  </si>
  <si>
    <t>TAPA RADIADOR NPR 13 LB</t>
  </si>
  <si>
    <t>MONP0402</t>
  </si>
  <si>
    <t>HIERRO BANDA FRENO NPR (PAR)</t>
  </si>
  <si>
    <t>MONP0403</t>
  </si>
  <si>
    <t>COMPRESOR AIRE NPR ENFRIADO POR AIRE KTC</t>
  </si>
  <si>
    <t>MONP0404</t>
  </si>
  <si>
    <t>BASE MOTOR NKR (DER-IZQ)</t>
  </si>
  <si>
    <t>EMPACADURA CAMARA NKR ECONOMICA</t>
  </si>
  <si>
    <t>MONP0405</t>
  </si>
  <si>
    <t>KIT PEDAL EMBRAGUE NPR/NKR</t>
  </si>
  <si>
    <t>MONP0406</t>
  </si>
  <si>
    <t>VALVULA TRANSFERENCIA 4HF1</t>
  </si>
  <si>
    <t>MONP0407</t>
  </si>
  <si>
    <t>EMPAQUE CARTER FINO 4HF1/G1</t>
  </si>
  <si>
    <t>MONP0408</t>
  </si>
  <si>
    <t>ARBOL DE LEVA 4HG1</t>
  </si>
  <si>
    <t>MONP0409</t>
  </si>
  <si>
    <t>ALFOMBRA PISO TRITON</t>
  </si>
  <si>
    <t>MONP0410</t>
  </si>
  <si>
    <t>ALFOMBRA PISO NPR</t>
  </si>
  <si>
    <t>CRUCETA ENCAVA/6HH1/FVR</t>
  </si>
  <si>
    <t>MONP0411</t>
  </si>
  <si>
    <t>ENVASE FILTRO PURIFICADOR NPR</t>
  </si>
  <si>
    <t>MONP0412</t>
  </si>
  <si>
    <t>VALVULA RETORNO INYECCION ORIGINAL</t>
  </si>
  <si>
    <t>VALVULA RETORNO INYECCION ECONOMICA</t>
  </si>
  <si>
    <t>MONP0413</t>
  </si>
  <si>
    <t>MONP0414</t>
  </si>
  <si>
    <t>FARO RH/LH NPR DIPO (C/U)</t>
  </si>
  <si>
    <t>VALVULA PRESION ACEITE NPR</t>
  </si>
  <si>
    <t>RODAMIENTO KOYO DELANTERA ENCAVA 32310 INTERNA GRANDE</t>
  </si>
  <si>
    <t>MONP0415</t>
  </si>
  <si>
    <t>MONP0416</t>
  </si>
  <si>
    <t>FAN CLUTCH NKR</t>
  </si>
  <si>
    <t>MONP0417</t>
  </si>
  <si>
    <t>MONP0418</t>
  </si>
  <si>
    <t>SOPORTE CABINA REDONDO NPR/NKR</t>
  </si>
  <si>
    <t>SOPORTE CABINA CENTRAL NPR/NKR</t>
  </si>
  <si>
    <t>MONP0419</t>
  </si>
  <si>
    <t xml:space="preserve">RODAMIENTO EJE DESLIZANTE </t>
  </si>
  <si>
    <t>MONP0420</t>
  </si>
  <si>
    <t>MONP0421</t>
  </si>
  <si>
    <t>BANDA FRENO 4705 CARGO 1721/IVECO (PAR)</t>
  </si>
  <si>
    <t xml:space="preserve">REPARACION COMPRESOR NPR AIRE CULATA SIN BUJE </t>
  </si>
  <si>
    <t xml:space="preserve">EMPACADURA COMPRESOR NPR AGUA </t>
  </si>
  <si>
    <t>MONP0422</t>
  </si>
  <si>
    <t>POLEA COMPRESOR NPR</t>
  </si>
  <si>
    <t>MONP0423</t>
  </si>
  <si>
    <t>KIT EMBRAGUE NKR/NHR</t>
  </si>
  <si>
    <t>MONP0424</t>
  </si>
  <si>
    <t>TERMINALES DIRECCION NPR CON GRASERA</t>
  </si>
  <si>
    <t>RODAMIENTO KOYO DELANTERO ENCAVA EXTERNO 80803</t>
  </si>
  <si>
    <t>RODAMIENTO DELANTERO ENCAVA EXTERNA KIBOH 80803</t>
  </si>
  <si>
    <t>TERMINALES DIRECCION NPR ECONOMICO</t>
  </si>
  <si>
    <t>MONP0425</t>
  </si>
  <si>
    <t>BUJE MAESTRA PEQUEÑO NKR</t>
  </si>
  <si>
    <t>ESPARRAGO CON CUÑA TUNEL</t>
  </si>
  <si>
    <t>MONP0426</t>
  </si>
  <si>
    <t>DISCO NKR/NHR MONRAX</t>
  </si>
  <si>
    <t>MONP0427</t>
  </si>
  <si>
    <t>EMPACADURA TAPA VALVULA 4BD1</t>
  </si>
  <si>
    <t>MONP0428</t>
  </si>
  <si>
    <t xml:space="preserve">CRUCETA GMB JACK 4BD1 </t>
  </si>
  <si>
    <t>MONP0429</t>
  </si>
  <si>
    <t>TUBO FILTRO BOMBA INYECCION PEQUEÑO</t>
  </si>
  <si>
    <t>MONP0430</t>
  </si>
  <si>
    <t>MONP0431</t>
  </si>
  <si>
    <t>RACHE FRENO 10 ESTRIAS ENCAVA</t>
  </si>
  <si>
    <t>KIT SATELITES Y PLANETARIO NPR CON TURBO 4HG1</t>
  </si>
  <si>
    <t>MONP0432</t>
  </si>
  <si>
    <t>KIT SATELITES Y PLANETARIO NPR SIN TURBO 4HF1</t>
  </si>
  <si>
    <t>GUAYA CAMBIO FVR 3.20 MTS</t>
  </si>
  <si>
    <t xml:space="preserve">BOMBIN PRINCIPAL NPR VANRYOKU </t>
  </si>
  <si>
    <t>MONP0433</t>
  </si>
  <si>
    <t>MONP0434</t>
  </si>
  <si>
    <t>MONP0435</t>
  </si>
  <si>
    <t>MONP0436</t>
  </si>
  <si>
    <t>VALVULA FRENO AHOGO ECONOMICA</t>
  </si>
  <si>
    <t>KIT CORONA Y PEÑON 7X43 NPR 14MM</t>
  </si>
  <si>
    <t xml:space="preserve">KIT CORONA Y PEÑON 7X41 NPR 4HF1 </t>
  </si>
  <si>
    <t>PUENTE CARDAN 4BD1 40 MM</t>
  </si>
  <si>
    <t>MONP0437</t>
  </si>
  <si>
    <t>MONP0438</t>
  </si>
  <si>
    <t>MONP0439</t>
  </si>
  <si>
    <t>MONP0440</t>
  </si>
  <si>
    <t>MONP0441</t>
  </si>
  <si>
    <t>VALVULA FRENO AHOGO ORIGINAL</t>
  </si>
  <si>
    <t>MONP0442</t>
  </si>
  <si>
    <t>MONP0443</t>
  </si>
  <si>
    <t>MONP0444</t>
  </si>
  <si>
    <t>MONP0445</t>
  </si>
  <si>
    <t>RETEN RUEDA DELANTERA EXTERNA CARGO 815</t>
  </si>
  <si>
    <t>RETEN RUEDA TRASERA CARGO 815</t>
  </si>
  <si>
    <t>TUERCA ARAÑA CARGO 815</t>
  </si>
  <si>
    <t xml:space="preserve">TUERCA TUNEL CARGO 815 </t>
  </si>
  <si>
    <t>MONP0446</t>
  </si>
  <si>
    <t xml:space="preserve">PUENTE CARDAN CARGO 815 </t>
  </si>
  <si>
    <t>ESPARRAGO NPR TRASERO IZQ</t>
  </si>
  <si>
    <t>RODAMIENTO KOYO DELANTERO EXTERNO CARGO 815</t>
  </si>
  <si>
    <t>RODAMIENTO KOYO DELANTERO INTERNO CARGO 815</t>
  </si>
  <si>
    <t>RODAMIENTO KOYO TRASERO EXTERNO CARGO 815</t>
  </si>
  <si>
    <t>RODAMIENTO KOYO TRASERO INTERNO CARGO 815</t>
  </si>
  <si>
    <t>SEMAFORO GRANDE</t>
  </si>
  <si>
    <t>PASADORES MITSUBISHI KANTER KING PIN</t>
  </si>
  <si>
    <t>RODAMIENTOS KOYO LATERAL TRASMISION SET98</t>
  </si>
  <si>
    <t>MONP0447</t>
  </si>
  <si>
    <t>PALANCA CAMBIO COMPLETA NPR/NKR</t>
  </si>
  <si>
    <t>STOP  LED MODELO NUEVO 12V (PAR)</t>
  </si>
  <si>
    <t>MONP0448</t>
  </si>
  <si>
    <t>RELOJ PRESION AIRE</t>
  </si>
  <si>
    <t>COLLARIN UNIFAR NKR</t>
  </si>
  <si>
    <t>MONP0449</t>
  </si>
  <si>
    <t>TAPA DE ACEITE CARA NPR-NHR-NKR-NQR</t>
  </si>
  <si>
    <t>TAPA DE ACEITE ECONOMICA NPR-NHR-NKR-NQR</t>
  </si>
  <si>
    <t>MONP0450</t>
  </si>
  <si>
    <t>MONP0451</t>
  </si>
  <si>
    <t>GUAYA ACELERADOR FVR</t>
  </si>
  <si>
    <t>MONP0452</t>
  </si>
  <si>
    <t>COLLARIN ORIGINAL NKR</t>
  </si>
  <si>
    <t>MONP0453</t>
  </si>
  <si>
    <t>BIELA NKR</t>
  </si>
  <si>
    <t>PUENTE CARDAN ENCAVA/FVR</t>
  </si>
  <si>
    <t>MONP0454</t>
  </si>
  <si>
    <t>GUAYA NEUTRO FVR 3.17 MTS</t>
  </si>
  <si>
    <t xml:space="preserve">RETEN COMPRESOR NPR </t>
  </si>
  <si>
    <t xml:space="preserve">VALVULA PERA EMBRAGUE AHOGO FRENO NPR/NKR </t>
  </si>
  <si>
    <t>VALVULA MAGNETICA FRENO 4HG1/NKR 12V</t>
  </si>
  <si>
    <t>VALVULA MAGNETICA FRENO 4HG1/NKR 24V</t>
  </si>
  <si>
    <t>MONP0455</t>
  </si>
  <si>
    <t>MONP0456</t>
  </si>
  <si>
    <t>LIGA FRENO</t>
  </si>
  <si>
    <t>MONP0457</t>
  </si>
  <si>
    <t xml:space="preserve">TAPA FRONTAL ALUMINIO NPR G1-F1 </t>
  </si>
  <si>
    <t>MONP0458</t>
  </si>
  <si>
    <t>RADIADOR NPR 3 TUBOS</t>
  </si>
  <si>
    <t>BUJE MAESTRA 16MM DELANTERO NPR</t>
  </si>
  <si>
    <t>BUJE MAESTRA 18MM TRASERO NPR</t>
  </si>
  <si>
    <t>MONP0459</t>
  </si>
  <si>
    <t>BUJE PIÑON DOBLE NPR</t>
  </si>
  <si>
    <t>MONP0460</t>
  </si>
  <si>
    <t>BANDA FRENO 4311</t>
  </si>
  <si>
    <t>MONP0461</t>
  </si>
  <si>
    <t>MONP0462</t>
  </si>
  <si>
    <t>KIT REPARACION VALVULA 4 VIAS</t>
  </si>
  <si>
    <t>MONP0463</t>
  </si>
  <si>
    <t>CORREA B41 ACANALADA VERCACOL</t>
  </si>
  <si>
    <t>MONP0464</t>
  </si>
  <si>
    <t>CORREA B42 ACANALADA VERCACOL</t>
  </si>
  <si>
    <t>MONP0465</t>
  </si>
  <si>
    <t>CORREA B43 ACANALADA VERCACOL</t>
  </si>
  <si>
    <t>MONP0466</t>
  </si>
  <si>
    <t>RETEN RUEDA DELANTERA CARGO 1721</t>
  </si>
  <si>
    <t xml:space="preserve">CORREA B41 ACANALADA DONGIL SUPER STAR </t>
  </si>
  <si>
    <t>CORREA B42 ACANALADA DONGIL</t>
  </si>
  <si>
    <t>EMPACADURA CAMARA 4HE1/ENCAVA SONYCO</t>
  </si>
  <si>
    <t>KIT ANILLOS PISTON COMPRESOR ENFRIADO POR AIRE 88MM</t>
  </si>
  <si>
    <t>MONP0467</t>
  </si>
  <si>
    <t>MONP0468</t>
  </si>
  <si>
    <t>MONP0469</t>
  </si>
  <si>
    <t>MONP0470</t>
  </si>
  <si>
    <t>MONP0471</t>
  </si>
  <si>
    <t>MONP0472</t>
  </si>
  <si>
    <t>MONP0473</t>
  </si>
  <si>
    <t>MONP0474</t>
  </si>
  <si>
    <t>RETEN CAJA VELOCIDADES TRASERO 2005</t>
  </si>
  <si>
    <t>GUAYA CONTROL CAMBIO NKR/NHR</t>
  </si>
  <si>
    <t>GUAYA NEUTRO NHR 98-11</t>
  </si>
  <si>
    <t>SENSOR VELOCIMETRO 12V</t>
  </si>
  <si>
    <t>SENSOR VELOCIMETRO 24V</t>
  </si>
  <si>
    <t>BOMBIN CLUTCH PRINCIPAL CARGO 815-1721</t>
  </si>
  <si>
    <t>BOMBIN CLUTCH AUXILIAR CARGO 815-1721</t>
  </si>
  <si>
    <t>GUAYA ACELERADOR CARGO 815-1721</t>
  </si>
  <si>
    <t>MONP0475</t>
  </si>
  <si>
    <t>CAUCHO CARRUCHA 3/4</t>
  </si>
  <si>
    <t>TERMINALES DIRECCION NPR MAS ECONOMICO</t>
  </si>
  <si>
    <t>GOMA VALVULA NPR 4HG1/4HF1 ORIGINAL ( UNIDAD X 10$ C/U)</t>
  </si>
  <si>
    <t>RETEN RUEDA TRASERA INTERNA CARGO 1721/FVR/KODIA (GIRATORIA)</t>
  </si>
  <si>
    <t>MONP0476</t>
  </si>
  <si>
    <t>FLEXIBLES TUBO ESCAPE 2 1/2 X 6</t>
  </si>
  <si>
    <t>MONP0477</t>
  </si>
  <si>
    <t>VALVULA 4 TETAS NPR</t>
  </si>
  <si>
    <t>MONP0478</t>
  </si>
  <si>
    <t xml:space="preserve">BOMBIN PRINCIPAL G1/F1 HIERRO </t>
  </si>
  <si>
    <t>MONP0479</t>
  </si>
  <si>
    <t>MONP0480</t>
  </si>
  <si>
    <t>GOMA VALVULA 4BD1/6BD1/6BG1</t>
  </si>
  <si>
    <t>GUAYA CAMBIO FVR 3.664 MTS</t>
  </si>
  <si>
    <t>DIRECCIONAL DECO NPR 2006/2013</t>
  </si>
  <si>
    <t>DIRECCIONAL NPR IZQ C/U</t>
  </si>
  <si>
    <t>MONP0481</t>
  </si>
  <si>
    <t>MUELLE TRASERO</t>
  </si>
  <si>
    <t>MONP0482</t>
  </si>
  <si>
    <t>MONP0483</t>
  </si>
  <si>
    <t>MONP0484</t>
  </si>
  <si>
    <t>HOJA TRASERA #2</t>
  </si>
  <si>
    <t>HOJA TRASERA #4</t>
  </si>
  <si>
    <t>HOJA TRASERA #3</t>
  </si>
  <si>
    <t>MONP0485</t>
  </si>
  <si>
    <t>MONP0486</t>
  </si>
  <si>
    <t xml:space="preserve">HOJA DELANTERA #2 </t>
  </si>
  <si>
    <t>HOJA DELANTERA #3</t>
  </si>
  <si>
    <t>MONP0487</t>
  </si>
  <si>
    <t>TAPA BAJA ESPEJO NPR</t>
  </si>
  <si>
    <t>MONP0488</t>
  </si>
  <si>
    <t>AMORTIGUADOR DEL FVR</t>
  </si>
  <si>
    <t>MONP0489</t>
  </si>
  <si>
    <t>DIRECCIONAL NPR DER C/U</t>
  </si>
  <si>
    <t>MONP0490</t>
  </si>
  <si>
    <t xml:space="preserve">FILTRO AIRE 6BD1 </t>
  </si>
  <si>
    <t>RODAMIENTO TRASERO EXTERNO CARGO 1721 ICHIVAN</t>
  </si>
  <si>
    <t>MONP0491</t>
  </si>
  <si>
    <t>MONP0492</t>
  </si>
  <si>
    <t xml:space="preserve">MONP0493 </t>
  </si>
  <si>
    <t>RODAMIENTO TRASERO INTERNO CARGO 1721 ICHIVAN</t>
  </si>
  <si>
    <t>AMORTIGUADOR TRASERO CARGO 1721 (125$ C/U)</t>
  </si>
  <si>
    <t>MONP0494</t>
  </si>
  <si>
    <t>MUELLE DELANTERO</t>
  </si>
  <si>
    <t>TUBO MANGUERA ALTERNADOR GENERICO NPR</t>
  </si>
  <si>
    <t>MONP0495</t>
  </si>
  <si>
    <t>TUBO MANGUERA ALTERNADOR ISUZU NPR</t>
  </si>
  <si>
    <t>MONP0496</t>
  </si>
  <si>
    <t>MONP0497</t>
  </si>
  <si>
    <t>MONP0498</t>
  </si>
  <si>
    <t>MONP0499</t>
  </si>
  <si>
    <t>RODAMIENTO DELANTERO INTERNO CARGO 1721 KOYO</t>
  </si>
  <si>
    <t>RODAMIENTO DELANTERO EXTERNO CARGO 1721 KOYO</t>
  </si>
  <si>
    <t>RODAMIENTO DELANTERO INTERNO CARGO 1721 KTC</t>
  </si>
  <si>
    <t>RODAMIENTO TRASERO INTERNO CARGO 1721 KOYO</t>
  </si>
  <si>
    <t>RODAMIENTO TRASERO EXTERNO CARGO 1721 KOYO</t>
  </si>
  <si>
    <t>FILTRO GASOIL ALTOS GEMELOS ELENFIL/IFL/GENERICOS</t>
  </si>
  <si>
    <t>KIT EMPACADURAS 4HG1 IZUZU/GENERICO</t>
  </si>
  <si>
    <t>MONP0500</t>
  </si>
  <si>
    <t>TORNILLO 8 MM</t>
  </si>
  <si>
    <t>MONP0501</t>
  </si>
  <si>
    <t>MANGUERA DESAHOGUE NPR</t>
  </si>
  <si>
    <t>KIT LAINAS AJUSTES SATELITES Y PLANETARIOS NPR AJUSTE TRASMISION</t>
  </si>
  <si>
    <t xml:space="preserve">ANILLO BAJONETE ESCAPE 4HG1 </t>
  </si>
  <si>
    <t>MAESTRA DELANTERO 4HG1</t>
  </si>
  <si>
    <t>MAESTRA TRASERO 4HG1</t>
  </si>
  <si>
    <t xml:space="preserve">ALTERNADOR FVR 24V 50 AMPERIOS </t>
  </si>
  <si>
    <t>COLLARIN HUECO GRANDE 2005 - ADELANTE UNIFAR</t>
  </si>
  <si>
    <t>GRASA BEG AZUL 350 G</t>
  </si>
  <si>
    <t>GRASA BEG AZUL 900 G</t>
  </si>
  <si>
    <t>GRASA SUPERKOTE AZUL 360 G</t>
  </si>
  <si>
    <t xml:space="preserve">DIAFRAGMA DE 30 </t>
  </si>
  <si>
    <t>MANGUERA RADIADOR LARGA/INFERIOR</t>
  </si>
  <si>
    <t>MANGUERA RADIADOR CORTA/SUPERIOR</t>
  </si>
  <si>
    <t xml:space="preserve">CHUPA FRENO NPR 3/16 </t>
  </si>
  <si>
    <t xml:space="preserve">SILICON VICTOR </t>
  </si>
  <si>
    <t xml:space="preserve">BUJE PASTA PALANCA CONTROL CAMBIO NPR/JAC </t>
  </si>
  <si>
    <t>MONP0502</t>
  </si>
  <si>
    <t xml:space="preserve">PUNTA NKR 23 ESTRIAS </t>
  </si>
  <si>
    <t xml:space="preserve">CORREA B40 ACANALADA </t>
  </si>
  <si>
    <t>MONP0503</t>
  </si>
  <si>
    <t>MONP0504</t>
  </si>
  <si>
    <t>MONP0505</t>
  </si>
  <si>
    <t>MONP0506</t>
  </si>
  <si>
    <t>CORREA BX48 ACANALADA</t>
  </si>
  <si>
    <t>CORREA BX49 ACANALADA</t>
  </si>
  <si>
    <t xml:space="preserve">BUJIAS COROLLA, AVEO,OPTRA </t>
  </si>
  <si>
    <t xml:space="preserve">BUJE MUELLE DELANTERO Y TRASERO NHR </t>
  </si>
  <si>
    <t>MONP0507</t>
  </si>
  <si>
    <t xml:space="preserve">RODAMIENTO RUEDA DELANTERA EXTERNA NHR </t>
  </si>
  <si>
    <t xml:space="preserve">RODAMIENTO RUEDA DELANTERA INTERNA NHR </t>
  </si>
  <si>
    <t>MONP0508</t>
  </si>
  <si>
    <t>MONP0509</t>
  </si>
  <si>
    <t xml:space="preserve">TAMBOR FRENO DELANTERO NHR </t>
  </si>
  <si>
    <t>MONP0510</t>
  </si>
  <si>
    <t>PASADOR DIRECCION CARGO 1725</t>
  </si>
  <si>
    <t xml:space="preserve">EMPACADURA CAMARA 5 LAMINAS 4HF1 SONYCO/TONYCO </t>
  </si>
  <si>
    <t>MONP0511</t>
  </si>
  <si>
    <t>MONP0512</t>
  </si>
  <si>
    <t>TRABA ROSCA 70ML</t>
  </si>
  <si>
    <t>TRABA ROSCA 50ML</t>
  </si>
  <si>
    <t>MONP0513</t>
  </si>
  <si>
    <t>RODAMIENTO ECONOMICO DELANTERA ENCAVA 32310 INTERNA GRANDE</t>
  </si>
  <si>
    <t>CORREA ACANALADA BX-47 DONGIL</t>
  </si>
  <si>
    <t>MONP0514</t>
  </si>
  <si>
    <t>MONP0515</t>
  </si>
  <si>
    <t>MONP0516</t>
  </si>
  <si>
    <t>MONP0517</t>
  </si>
  <si>
    <t>MONP0518</t>
  </si>
  <si>
    <t>MONP0519</t>
  </si>
  <si>
    <t>CORREA ACANALADA BX-48 DONGIL</t>
  </si>
  <si>
    <t>CORREA ACANALADA BX-44 DONGIL</t>
  </si>
  <si>
    <t xml:space="preserve">CORREA B46 LISA </t>
  </si>
  <si>
    <t xml:space="preserve">CORREA B47 LISA </t>
  </si>
  <si>
    <t xml:space="preserve">CORREA B44 LISA </t>
  </si>
  <si>
    <t>AMORTIGUADOR DELANTERO CARGO 1721 (125$ C/U)</t>
  </si>
  <si>
    <t xml:space="preserve">VALVULA PRESION ACEITE NKR </t>
  </si>
  <si>
    <t>MONP0520</t>
  </si>
  <si>
    <t>GUAYA ACELERADOR NKR/NHR</t>
  </si>
  <si>
    <t>CAMISA 4HF1 ISUZU (UNIDAD 55$)</t>
  </si>
  <si>
    <t>MONP0521</t>
  </si>
  <si>
    <t>BRAZO DE BIELA NKR/4JB1</t>
  </si>
  <si>
    <t>MONP0522</t>
  </si>
  <si>
    <t xml:space="preserve">CATRIX TURBO NKR/4JB1 </t>
  </si>
  <si>
    <t>MONP0523</t>
  </si>
  <si>
    <t xml:space="preserve">EMPAQUE CAMARA BKR/4JB1 </t>
  </si>
  <si>
    <t>MONP0524</t>
  </si>
  <si>
    <t>VALVULA PEDAL FRENO VADEN G1</t>
  </si>
  <si>
    <t>MONP0525</t>
  </si>
  <si>
    <t xml:space="preserve">RADIADOR NKR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</si>
</sst>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540A]* #,##0.00_ ;_-[$$-540A]* \-#,##0.00\ ;_-[$$-540A]* &quot;-&quot;??_ ;_-@_ "/>
  </numFmts>
  <fonts count="5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name val="Calibri"/>
      <family val="2"/>
      <scheme val="minor"/>
    </font>
    <font>
      <u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164" fontId="1" fillId="0" borderId="0" xfId="0" applyNumberFormat="1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4" borderId="0" xfId="0" applyFont="1" applyFill="1"/>
    <xf numFmtId="0" fontId="1" fillId="5" borderId="0" xfId="0" applyFont="1" applyFill="1"/>
    <xf numFmtId="0" fontId="3" fillId="4" borderId="0" xfId="0" applyFont="1" applyFill="1"/>
    <xf numFmtId="0" fontId="1" fillId="6" borderId="0" xfId="0" applyFont="1" applyFill="1"/>
    <xf numFmtId="0" fontId="1" fillId="4" borderId="4" xfId="0" applyFont="1" applyFill="1" applyBorder="1" applyAlignment="1">
      <alignment horizontal="center" vertical="center"/>
    </xf>
    <xf numFmtId="164" fontId="1" fillId="4" borderId="4" xfId="0" applyNumberFormat="1" applyFont="1" applyFill="1" applyBorder="1" applyAlignment="1">
      <alignment horizontal="center" vertical="center"/>
    </xf>
    <xf numFmtId="0" fontId="1" fillId="4" borderId="3" xfId="0" applyFont="1" applyFill="1" applyBorder="1"/>
    <xf numFmtId="0" fontId="1" fillId="6" borderId="4" xfId="0" applyFont="1" applyFill="1" applyBorder="1" applyAlignment="1">
      <alignment horizontal="center" vertical="center"/>
    </xf>
    <xf numFmtId="164" fontId="1" fillId="6" borderId="4" xfId="0" applyNumberFormat="1" applyFont="1" applyFill="1" applyBorder="1" applyAlignment="1">
      <alignment horizontal="center" vertical="center"/>
    </xf>
    <xf numFmtId="0" fontId="1" fillId="6" borderId="6" xfId="0" applyFont="1" applyFill="1" applyBorder="1"/>
    <xf numFmtId="0" fontId="1" fillId="7" borderId="4" xfId="0" applyFont="1" applyFill="1" applyBorder="1" applyAlignment="1">
      <alignment horizontal="center" vertical="center"/>
    </xf>
    <xf numFmtId="164" fontId="1" fillId="7" borderId="4" xfId="0" applyNumberFormat="1" applyFont="1" applyFill="1" applyBorder="1" applyAlignment="1">
      <alignment horizontal="center" vertical="center"/>
    </xf>
    <xf numFmtId="0" fontId="1" fillId="7" borderId="6" xfId="0" applyFont="1" applyFill="1" applyBorder="1"/>
    <xf numFmtId="0" fontId="1" fillId="4" borderId="6" xfId="0" applyFont="1" applyFill="1" applyBorder="1"/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6" xfId="0" applyFont="1" applyBorder="1"/>
    <xf numFmtId="0" fontId="3" fillId="4" borderId="4" xfId="0" applyFont="1" applyFill="1" applyBorder="1" applyAlignment="1">
      <alignment horizontal="center" vertical="center"/>
    </xf>
    <xf numFmtId="164" fontId="3" fillId="4" borderId="4" xfId="0" applyNumberFormat="1" applyFont="1" applyFill="1" applyBorder="1" applyAlignment="1">
      <alignment horizontal="center" vertical="center"/>
    </xf>
    <xf numFmtId="0" fontId="3" fillId="4" borderId="6" xfId="0" applyFont="1" applyFill="1" applyBorder="1"/>
    <xf numFmtId="0" fontId="4" fillId="0" borderId="4" xfId="0" applyFont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64" fontId="1" fillId="3" borderId="4" xfId="0" applyNumberFormat="1" applyFont="1" applyFill="1" applyBorder="1" applyAlignment="1">
      <alignment horizontal="center" vertical="center"/>
    </xf>
    <xf numFmtId="0" fontId="1" fillId="3" borderId="6" xfId="0" applyFont="1" applyFill="1" applyBorder="1"/>
    <xf numFmtId="0" fontId="1" fillId="5" borderId="6" xfId="0" applyFont="1" applyFill="1" applyBorder="1"/>
    <xf numFmtId="0" fontId="4" fillId="6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6" xfId="0" applyFont="1" applyBorder="1"/>
    <xf numFmtId="164" fontId="1" fillId="6" borderId="5" xfId="0" applyNumberFormat="1" applyFont="1" applyFill="1" applyBorder="1" applyAlignment="1">
      <alignment horizontal="center" vertical="center"/>
    </xf>
    <xf numFmtId="0" fontId="1" fillId="6" borderId="7" xfId="0" applyFont="1" applyFill="1" applyBorder="1"/>
    <xf numFmtId="164" fontId="1" fillId="7" borderId="8" xfId="0" applyNumberFormat="1" applyFont="1" applyFill="1" applyBorder="1" applyAlignment="1">
      <alignment horizontal="center" vertical="center"/>
    </xf>
    <xf numFmtId="0" fontId="1" fillId="7" borderId="7" xfId="0" applyFont="1" applyFill="1" applyBorder="1"/>
    <xf numFmtId="164" fontId="1" fillId="0" borderId="8" xfId="0" applyNumberFormat="1" applyFont="1" applyBorder="1" applyAlignment="1">
      <alignment horizontal="center" vertical="center"/>
    </xf>
    <xf numFmtId="0" fontId="1" fillId="0" borderId="7" xfId="0" applyFont="1" applyBorder="1"/>
    <xf numFmtId="0" fontId="1" fillId="4" borderId="7" xfId="0" applyFont="1" applyFill="1" applyBorder="1"/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0" fontId="1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33"/>
  <sheetViews>
    <sheetView tabSelected="1" zoomScale="70" zoomScaleNormal="70" workbookViewId="0">
      <selection activeCell="P1" sqref="P1"/>
    </sheetView>
  </sheetViews>
  <sheetFormatPr baseColWidth="10" defaultRowHeight="23.25" x14ac:dyDescent="0.35"/>
  <cols>
    <col min="1" max="1" width="20.42578125" style="7" bestFit="1" customWidth="1"/>
    <col min="2" max="2" width="112" style="6" customWidth="1"/>
    <col min="3" max="3" width="20.42578125" style="1" bestFit="1" customWidth="1"/>
    <col min="4" max="4" width="20.42578125" style="5" bestFit="1" customWidth="1"/>
    <col min="5" max="5" width="24.28515625" style="5" bestFit="1" customWidth="1"/>
    <col min="6" max="6" width="43" style="1" customWidth="1"/>
    <col min="7" max="16384" width="11.42578125" style="1"/>
  </cols>
  <sheetData>
    <row r="1" spans="1:6" ht="46.5" x14ac:dyDescent="0.35">
      <c r="A1" s="3" t="s">
        <v>0</v>
      </c>
      <c r="B1" s="2" t="s">
        <v>1</v>
      </c>
      <c r="C1" s="3" t="s">
        <v>2</v>
      </c>
      <c r="D1" s="4" t="s">
        <v>13</v>
      </c>
      <c r="E1" s="4" t="s">
        <v>51</v>
      </c>
    </row>
    <row r="2" spans="1:6" s="8" customFormat="1" x14ac:dyDescent="0.35">
      <c r="A2" s="12" t="s">
        <v>774</v>
      </c>
      <c r="B2" s="12" t="s">
        <v>775</v>
      </c>
      <c r="C2" s="12">
        <v>2</v>
      </c>
      <c r="D2" s="13">
        <v>80</v>
      </c>
      <c r="E2" s="13">
        <f>(INVENTARIO!$D2*INVENTARIO!$C2)</f>
        <v>160</v>
      </c>
      <c r="F2" s="14"/>
    </row>
    <row r="3" spans="1:6" x14ac:dyDescent="0.35">
      <c r="A3" s="15" t="s">
        <v>749</v>
      </c>
      <c r="B3" s="15" t="s">
        <v>751</v>
      </c>
      <c r="C3" s="15">
        <v>0</v>
      </c>
      <c r="D3" s="16">
        <v>90</v>
      </c>
      <c r="E3" s="16">
        <f>(INVENTARIO!$D3*INVENTARIO!$C3)</f>
        <v>0</v>
      </c>
      <c r="F3" s="17"/>
    </row>
    <row r="4" spans="1:6" ht="22.5" customHeight="1" x14ac:dyDescent="0.35">
      <c r="A4" s="18" t="s">
        <v>772</v>
      </c>
      <c r="B4" s="18" t="s">
        <v>773</v>
      </c>
      <c r="C4" s="18">
        <v>2</v>
      </c>
      <c r="D4" s="19">
        <v>80</v>
      </c>
      <c r="E4" s="19">
        <f>(INVENTARIO!$D4*INVENTARIO!$C4)</f>
        <v>160</v>
      </c>
      <c r="F4" s="20"/>
    </row>
    <row r="5" spans="1:6" s="8" customFormat="1" x14ac:dyDescent="0.35">
      <c r="A5" s="12" t="s">
        <v>45</v>
      </c>
      <c r="B5" s="12" t="s">
        <v>995</v>
      </c>
      <c r="C5" s="12">
        <v>1</v>
      </c>
      <c r="D5" s="13">
        <v>350</v>
      </c>
      <c r="E5" s="13">
        <f>(INVENTARIO!$D5*INVENTARIO!$C5)</f>
        <v>350</v>
      </c>
      <c r="F5" s="21"/>
    </row>
    <row r="6" spans="1:6" x14ac:dyDescent="0.35">
      <c r="A6" s="12" t="s">
        <v>329</v>
      </c>
      <c r="B6" s="12" t="s">
        <v>330</v>
      </c>
      <c r="C6" s="12">
        <v>1</v>
      </c>
      <c r="D6" s="13">
        <v>350</v>
      </c>
      <c r="E6" s="13">
        <f>(INVENTARIO!$D6*INVENTARIO!$C6)</f>
        <v>350</v>
      </c>
      <c r="F6" s="21"/>
    </row>
    <row r="7" spans="1:6" s="10" customFormat="1" x14ac:dyDescent="0.35">
      <c r="A7" s="22" t="s">
        <v>689</v>
      </c>
      <c r="B7" s="22" t="s">
        <v>694</v>
      </c>
      <c r="C7" s="22">
        <v>1</v>
      </c>
      <c r="D7" s="23">
        <v>230</v>
      </c>
      <c r="E7" s="23">
        <f>(INVENTARIO!$D7*INVENTARIO!$C7)</f>
        <v>230</v>
      </c>
      <c r="F7" s="24"/>
    </row>
    <row r="8" spans="1:6" s="8" customFormat="1" x14ac:dyDescent="0.35">
      <c r="A8" s="12" t="s">
        <v>84</v>
      </c>
      <c r="B8" s="12" t="s">
        <v>328</v>
      </c>
      <c r="C8" s="12">
        <v>2</v>
      </c>
      <c r="D8" s="13">
        <v>320</v>
      </c>
      <c r="E8" s="13">
        <f>(INVENTARIO!$D8*INVENTARIO!$C8)</f>
        <v>640</v>
      </c>
      <c r="F8" s="21"/>
    </row>
    <row r="9" spans="1:6" s="8" customFormat="1" x14ac:dyDescent="0.35">
      <c r="A9" s="22" t="s">
        <v>85</v>
      </c>
      <c r="B9" s="22" t="s">
        <v>327</v>
      </c>
      <c r="C9" s="22">
        <v>1</v>
      </c>
      <c r="D9" s="23">
        <v>240</v>
      </c>
      <c r="E9" s="23">
        <f>(INVENTARIO!$D9*INVENTARIO!$C9)</f>
        <v>240</v>
      </c>
      <c r="F9" s="24"/>
    </row>
    <row r="10" spans="1:6" x14ac:dyDescent="0.35">
      <c r="A10" s="18" t="s">
        <v>959</v>
      </c>
      <c r="B10" s="18" t="s">
        <v>960</v>
      </c>
      <c r="C10" s="18">
        <v>2</v>
      </c>
      <c r="D10" s="19">
        <v>140</v>
      </c>
      <c r="E10" s="19">
        <f>(INVENTARIO!$D10*INVENTARIO!$C10)</f>
        <v>280</v>
      </c>
      <c r="F10" s="20"/>
    </row>
    <row r="11" spans="1:6" s="8" customFormat="1" x14ac:dyDescent="0.35">
      <c r="A11" s="12" t="s">
        <v>935</v>
      </c>
      <c r="B11" s="12" t="s">
        <v>1044</v>
      </c>
      <c r="C11" s="12">
        <v>2</v>
      </c>
      <c r="D11" s="13">
        <v>125</v>
      </c>
      <c r="E11" s="13">
        <f>(INVENTARIO!$D11*INVENTARIO!$C11)</f>
        <v>250</v>
      </c>
      <c r="F11" s="21"/>
    </row>
    <row r="12" spans="1:6" x14ac:dyDescent="0.35">
      <c r="A12" s="25" t="s">
        <v>440</v>
      </c>
      <c r="B12" s="25" t="s">
        <v>441</v>
      </c>
      <c r="C12" s="25">
        <v>4</v>
      </c>
      <c r="D12" s="26">
        <v>65</v>
      </c>
      <c r="E12" s="26">
        <f>(INVENTARIO!$D12*INVENTARIO!$C12)</f>
        <v>260</v>
      </c>
      <c r="F12" s="27"/>
    </row>
    <row r="13" spans="1:6" s="8" customFormat="1" x14ac:dyDescent="0.35">
      <c r="A13" s="12" t="s">
        <v>968</v>
      </c>
      <c r="B13" s="12" t="s">
        <v>970</v>
      </c>
      <c r="C13" s="12">
        <v>2</v>
      </c>
      <c r="D13" s="13">
        <v>125</v>
      </c>
      <c r="E13" s="13">
        <f>(INVENTARIO!$D13*INVENTARIO!$C13)</f>
        <v>250</v>
      </c>
      <c r="F13" s="21"/>
    </row>
    <row r="14" spans="1:6" s="8" customFormat="1" x14ac:dyDescent="0.35">
      <c r="A14" s="12" t="s">
        <v>438</v>
      </c>
      <c r="B14" s="12" t="s">
        <v>439</v>
      </c>
      <c r="C14" s="12">
        <v>6</v>
      </c>
      <c r="D14" s="13">
        <v>65</v>
      </c>
      <c r="E14" s="13">
        <f>(INVENTARIO!$D14*INVENTARIO!$C14)</f>
        <v>390</v>
      </c>
      <c r="F14" s="21"/>
    </row>
    <row r="15" spans="1:6" s="8" customFormat="1" x14ac:dyDescent="0.35">
      <c r="A15" s="12" t="s">
        <v>404</v>
      </c>
      <c r="B15" s="12" t="s">
        <v>405</v>
      </c>
      <c r="C15" s="12">
        <v>3</v>
      </c>
      <c r="D15" s="13">
        <v>130</v>
      </c>
      <c r="E15" s="13">
        <f>(INVENTARIO!$D15*INVENTARIO!$C15)</f>
        <v>390</v>
      </c>
      <c r="F15" s="21"/>
    </row>
    <row r="16" spans="1:6" s="8" customFormat="1" x14ac:dyDescent="0.35">
      <c r="A16" s="12" t="s">
        <v>593</v>
      </c>
      <c r="B16" s="12" t="s">
        <v>992</v>
      </c>
      <c r="C16" s="12">
        <v>5</v>
      </c>
      <c r="D16" s="13">
        <v>10</v>
      </c>
      <c r="E16" s="13">
        <f>(INVENTARIO!$D16*INVENTARIO!$C16)</f>
        <v>50</v>
      </c>
      <c r="F16" s="21"/>
    </row>
    <row r="17" spans="1:6" s="9" customFormat="1" x14ac:dyDescent="0.35">
      <c r="A17" s="15" t="s">
        <v>10</v>
      </c>
      <c r="B17" s="15" t="s">
        <v>341</v>
      </c>
      <c r="C17" s="15">
        <v>0</v>
      </c>
      <c r="D17" s="16">
        <v>150</v>
      </c>
      <c r="E17" s="16">
        <f>(INVENTARIO!$D17*INVENTARIO!$C17)</f>
        <v>0</v>
      </c>
      <c r="F17" s="17"/>
    </row>
    <row r="18" spans="1:6" x14ac:dyDescent="0.35">
      <c r="A18" s="12" t="s">
        <v>9</v>
      </c>
      <c r="B18" s="12" t="s">
        <v>339</v>
      </c>
      <c r="C18" s="12">
        <v>2</v>
      </c>
      <c r="D18" s="13">
        <v>130</v>
      </c>
      <c r="E18" s="13">
        <f>(INVENTARIO!$D18*INVENTARIO!$C18)</f>
        <v>260</v>
      </c>
      <c r="F18" s="21"/>
    </row>
    <row r="19" spans="1:6" x14ac:dyDescent="0.35">
      <c r="A19" s="22" t="s">
        <v>11</v>
      </c>
      <c r="B19" s="22" t="s">
        <v>340</v>
      </c>
      <c r="C19" s="22">
        <v>2</v>
      </c>
      <c r="D19" s="23">
        <v>55</v>
      </c>
      <c r="E19" s="23">
        <f>(INVENTARIO!$D19*INVENTARIO!$C19)</f>
        <v>110</v>
      </c>
      <c r="F19" s="24"/>
    </row>
    <row r="20" spans="1:6" x14ac:dyDescent="0.35">
      <c r="A20" s="18" t="s">
        <v>199</v>
      </c>
      <c r="B20" s="18" t="s">
        <v>276</v>
      </c>
      <c r="C20" s="18">
        <v>3</v>
      </c>
      <c r="D20" s="19">
        <v>30</v>
      </c>
      <c r="E20" s="19">
        <f>(INVENTARIO!$D20*INVENTARIO!$C20)</f>
        <v>90</v>
      </c>
      <c r="F20" s="20"/>
    </row>
    <row r="21" spans="1:6" x14ac:dyDescent="0.35">
      <c r="A21" s="22" t="s">
        <v>228</v>
      </c>
      <c r="B21" s="22" t="s">
        <v>607</v>
      </c>
      <c r="C21" s="22">
        <v>28</v>
      </c>
      <c r="D21" s="23">
        <v>8</v>
      </c>
      <c r="E21" s="23">
        <f>(INVENTARIO!$D21*INVENTARIO!$C21)</f>
        <v>224</v>
      </c>
      <c r="F21" s="24"/>
    </row>
    <row r="22" spans="1:6" x14ac:dyDescent="0.35">
      <c r="A22" s="18" t="s">
        <v>770</v>
      </c>
      <c r="B22" s="18" t="s">
        <v>771</v>
      </c>
      <c r="C22" s="18">
        <v>1</v>
      </c>
      <c r="D22" s="19">
        <v>130</v>
      </c>
      <c r="E22" s="19">
        <f>(INVENTARIO!$D22*INVENTARIO!$C22)</f>
        <v>130</v>
      </c>
      <c r="F22" s="20"/>
    </row>
    <row r="23" spans="1:6" s="8" customFormat="1" x14ac:dyDescent="0.35">
      <c r="A23" s="22" t="s">
        <v>371</v>
      </c>
      <c r="B23" s="22" t="s">
        <v>380</v>
      </c>
      <c r="C23" s="22">
        <v>1</v>
      </c>
      <c r="D23" s="23">
        <v>320</v>
      </c>
      <c r="E23" s="23">
        <f>(INVENTARIO!$D23*INVENTARIO!$C23)</f>
        <v>320</v>
      </c>
      <c r="F23" s="24"/>
    </row>
    <row r="24" spans="1:6" x14ac:dyDescent="0.35">
      <c r="A24" s="12" t="s">
        <v>234</v>
      </c>
      <c r="B24" s="12" t="s">
        <v>302</v>
      </c>
      <c r="C24" s="12">
        <v>4</v>
      </c>
      <c r="D24" s="13">
        <v>30</v>
      </c>
      <c r="E24" s="13">
        <f>(INVENTARIO!$D24*INVENTARIO!$C24)</f>
        <v>120</v>
      </c>
      <c r="F24" s="21"/>
    </row>
    <row r="25" spans="1:6" x14ac:dyDescent="0.35">
      <c r="A25" s="22" t="s">
        <v>687</v>
      </c>
      <c r="B25" s="22" t="s">
        <v>688</v>
      </c>
      <c r="C25" s="22">
        <v>6</v>
      </c>
      <c r="D25" s="23">
        <v>30</v>
      </c>
      <c r="E25" s="23">
        <f>(INVENTARIO!$D25*INVENTARIO!$C25)</f>
        <v>180</v>
      </c>
      <c r="F25" s="24"/>
    </row>
    <row r="26" spans="1:6" s="8" customFormat="1" x14ac:dyDescent="0.35">
      <c r="A26" s="18" t="s">
        <v>699</v>
      </c>
      <c r="B26" s="18" t="s">
        <v>700</v>
      </c>
      <c r="C26" s="18">
        <v>4</v>
      </c>
      <c r="D26" s="19">
        <v>30</v>
      </c>
      <c r="E26" s="19">
        <f>(INVENTARIO!$D26*INVENTARIO!$C26)</f>
        <v>120</v>
      </c>
      <c r="F26" s="20"/>
    </row>
    <row r="27" spans="1:6" s="8" customFormat="1" x14ac:dyDescent="0.35">
      <c r="A27" s="22" t="s">
        <v>47</v>
      </c>
      <c r="B27" s="22" t="s">
        <v>49</v>
      </c>
      <c r="C27" s="22">
        <v>5</v>
      </c>
      <c r="D27" s="23">
        <v>30</v>
      </c>
      <c r="E27" s="23">
        <f>(INVENTARIO!$D27*INVENTARIO!$C27)</f>
        <v>150</v>
      </c>
      <c r="F27" s="21"/>
    </row>
    <row r="28" spans="1:6" s="8" customFormat="1" x14ac:dyDescent="0.35">
      <c r="A28" s="18" t="s">
        <v>895</v>
      </c>
      <c r="B28" s="18" t="s">
        <v>896</v>
      </c>
      <c r="C28" s="18">
        <v>1</v>
      </c>
      <c r="D28" s="19">
        <v>120</v>
      </c>
      <c r="E28" s="19">
        <f>(INVENTARIO!$D28*INVENTARIO!$C28)</f>
        <v>120</v>
      </c>
      <c r="F28" s="20"/>
    </row>
    <row r="29" spans="1:6" s="8" customFormat="1" x14ac:dyDescent="0.35">
      <c r="A29" s="22" t="s">
        <v>797</v>
      </c>
      <c r="B29" s="22" t="s">
        <v>798</v>
      </c>
      <c r="C29" s="22">
        <v>1</v>
      </c>
      <c r="D29" s="23">
        <v>100</v>
      </c>
      <c r="E29" s="23">
        <f>(INVENTARIO!$D29*INVENTARIO!$C29)</f>
        <v>100</v>
      </c>
      <c r="F29" s="24"/>
    </row>
    <row r="30" spans="1:6" s="8" customFormat="1" x14ac:dyDescent="0.35">
      <c r="A30" s="18" t="s">
        <v>502</v>
      </c>
      <c r="B30" s="18" t="s">
        <v>650</v>
      </c>
      <c r="C30" s="18">
        <v>3</v>
      </c>
      <c r="D30" s="19">
        <v>80</v>
      </c>
      <c r="E30" s="19">
        <f>(INVENTARIO!$D30*INVENTARIO!$C30)</f>
        <v>240</v>
      </c>
      <c r="F30" s="20"/>
    </row>
    <row r="31" spans="1:6" x14ac:dyDescent="0.35">
      <c r="A31" s="12" t="s">
        <v>501</v>
      </c>
      <c r="B31" s="12" t="s">
        <v>649</v>
      </c>
      <c r="C31" s="12">
        <v>1</v>
      </c>
      <c r="D31" s="13">
        <v>65</v>
      </c>
      <c r="E31" s="13">
        <f>(INVENTARIO!$D31*INVENTARIO!$C31)</f>
        <v>65</v>
      </c>
      <c r="F31" s="21"/>
    </row>
    <row r="32" spans="1:6" s="8" customFormat="1" x14ac:dyDescent="0.35">
      <c r="A32" s="12" t="s">
        <v>101</v>
      </c>
      <c r="B32" s="12" t="s">
        <v>648</v>
      </c>
      <c r="C32" s="12">
        <v>1</v>
      </c>
      <c r="D32" s="13">
        <v>100</v>
      </c>
      <c r="E32" s="13">
        <f>(INVENTARIO!$D32*INVENTARIO!$C32)</f>
        <v>100</v>
      </c>
      <c r="F32" s="21"/>
    </row>
    <row r="33" spans="1:6" s="8" customFormat="1" x14ac:dyDescent="0.35">
      <c r="A33" s="12" t="s">
        <v>103</v>
      </c>
      <c r="B33" s="12" t="s">
        <v>647</v>
      </c>
      <c r="C33" s="12">
        <v>1</v>
      </c>
      <c r="D33" s="13">
        <v>70</v>
      </c>
      <c r="E33" s="13">
        <f>(INVENTARIO!$D33*INVENTARIO!$C33)</f>
        <v>70</v>
      </c>
      <c r="F33" s="21"/>
    </row>
    <row r="34" spans="1:6" s="8" customFormat="1" x14ac:dyDescent="0.35">
      <c r="A34" s="12" t="s">
        <v>102</v>
      </c>
      <c r="B34" s="12" t="s">
        <v>646</v>
      </c>
      <c r="C34" s="12">
        <v>1</v>
      </c>
      <c r="D34" s="13">
        <v>70</v>
      </c>
      <c r="E34" s="13">
        <f>(INVENTARIO!$D34*INVENTARIO!$C34)</f>
        <v>70</v>
      </c>
      <c r="F34" s="21"/>
    </row>
    <row r="35" spans="1:6" x14ac:dyDescent="0.35">
      <c r="A35" s="22" t="s">
        <v>587</v>
      </c>
      <c r="B35" s="22" t="s">
        <v>588</v>
      </c>
      <c r="C35" s="22">
        <v>2</v>
      </c>
      <c r="D35" s="23">
        <v>60</v>
      </c>
      <c r="E35" s="23">
        <f>(INVENTARIO!$D35*INVENTARIO!$C35)</f>
        <v>120</v>
      </c>
      <c r="F35" s="24"/>
    </row>
    <row r="36" spans="1:6" s="8" customFormat="1" x14ac:dyDescent="0.35">
      <c r="A36" s="12" t="s">
        <v>240</v>
      </c>
      <c r="B36" s="12" t="s">
        <v>638</v>
      </c>
      <c r="C36" s="12">
        <v>3</v>
      </c>
      <c r="D36" s="13">
        <v>80</v>
      </c>
      <c r="E36" s="13">
        <f>(INVENTARIO!$D36*INVENTARIO!$C36)</f>
        <v>240</v>
      </c>
      <c r="F36" s="21"/>
    </row>
    <row r="37" spans="1:6" s="8" customFormat="1" x14ac:dyDescent="0.35">
      <c r="A37" s="15" t="s">
        <v>640</v>
      </c>
      <c r="B37" s="15" t="s">
        <v>639</v>
      </c>
      <c r="C37" s="15">
        <v>0</v>
      </c>
      <c r="D37" s="16">
        <v>110</v>
      </c>
      <c r="E37" s="16">
        <f>(INVENTARIO!$D37*INVENTARIO!$C37)</f>
        <v>0</v>
      </c>
      <c r="F37" s="17"/>
    </row>
    <row r="38" spans="1:6" s="8" customFormat="1" x14ac:dyDescent="0.35">
      <c r="A38" s="12" t="s">
        <v>176</v>
      </c>
      <c r="B38" s="12" t="s">
        <v>261</v>
      </c>
      <c r="C38" s="12">
        <v>10</v>
      </c>
      <c r="D38" s="13">
        <v>20</v>
      </c>
      <c r="E38" s="13">
        <f>(INVENTARIO!$D38*INVENTARIO!$C38)</f>
        <v>200</v>
      </c>
      <c r="F38" s="21"/>
    </row>
    <row r="39" spans="1:6" s="8" customFormat="1" x14ac:dyDescent="0.35">
      <c r="A39" s="22" t="s">
        <v>568</v>
      </c>
      <c r="B39" s="22" t="s">
        <v>573</v>
      </c>
      <c r="C39" s="22">
        <v>11</v>
      </c>
      <c r="D39" s="23">
        <v>15</v>
      </c>
      <c r="E39" s="23">
        <f>(INVENTARIO!$D39*INVENTARIO!$C39)</f>
        <v>165</v>
      </c>
      <c r="F39" s="24"/>
    </row>
    <row r="40" spans="1:6" s="8" customFormat="1" x14ac:dyDescent="0.35">
      <c r="A40" s="12" t="s">
        <v>177</v>
      </c>
      <c r="B40" s="12" t="s">
        <v>670</v>
      </c>
      <c r="C40" s="12">
        <v>2</v>
      </c>
      <c r="D40" s="13">
        <v>55</v>
      </c>
      <c r="E40" s="13">
        <f>(INVENTARIO!$D40*INVENTARIO!$C40)</f>
        <v>110</v>
      </c>
      <c r="F40" s="21"/>
    </row>
    <row r="41" spans="1:6" s="8" customFormat="1" x14ac:dyDescent="0.35">
      <c r="A41" s="22" t="s">
        <v>178</v>
      </c>
      <c r="B41" s="22" t="s">
        <v>260</v>
      </c>
      <c r="C41" s="22">
        <v>1</v>
      </c>
      <c r="D41" s="23">
        <v>45</v>
      </c>
      <c r="E41" s="23">
        <f>(INVENTARIO!$D41*INVENTARIO!$C41)</f>
        <v>45</v>
      </c>
      <c r="F41" s="24"/>
    </row>
    <row r="42" spans="1:6" x14ac:dyDescent="0.35">
      <c r="A42" s="18" t="s">
        <v>761</v>
      </c>
      <c r="B42" s="18" t="s">
        <v>762</v>
      </c>
      <c r="C42" s="18">
        <v>3</v>
      </c>
      <c r="D42" s="19">
        <v>25</v>
      </c>
      <c r="E42" s="19">
        <f>(INVENTARIO!$D42*INVENTARIO!$C42)</f>
        <v>75</v>
      </c>
      <c r="F42" s="20"/>
    </row>
    <row r="43" spans="1:6" x14ac:dyDescent="0.35">
      <c r="A43" s="22" t="s">
        <v>235</v>
      </c>
      <c r="B43" s="28" t="s">
        <v>303</v>
      </c>
      <c r="C43" s="22">
        <v>2</v>
      </c>
      <c r="D43" s="23">
        <v>40</v>
      </c>
      <c r="E43" s="23">
        <f>(INVENTARIO!$D43*INVENTARIO!$C43)</f>
        <v>80</v>
      </c>
      <c r="F43" s="24"/>
    </row>
    <row r="44" spans="1:6" s="8" customFormat="1" x14ac:dyDescent="0.35">
      <c r="A44" s="12" t="s">
        <v>390</v>
      </c>
      <c r="B44" s="12" t="s">
        <v>391</v>
      </c>
      <c r="C44" s="12">
        <v>2</v>
      </c>
      <c r="D44" s="13">
        <v>40</v>
      </c>
      <c r="E44" s="13">
        <f>(INVENTARIO!$D44*INVENTARIO!$C44)</f>
        <v>80</v>
      </c>
      <c r="F44" s="21"/>
    </row>
    <row r="45" spans="1:6" s="8" customFormat="1" x14ac:dyDescent="0.35">
      <c r="A45" s="22" t="s">
        <v>220</v>
      </c>
      <c r="B45" s="22" t="s">
        <v>290</v>
      </c>
      <c r="C45" s="22">
        <v>2</v>
      </c>
      <c r="D45" s="23">
        <v>15</v>
      </c>
      <c r="E45" s="23">
        <f>(INVENTARIO!$D45*INVENTARIO!$C45)</f>
        <v>30</v>
      </c>
      <c r="F45" s="24"/>
    </row>
    <row r="46" spans="1:6" s="8" customFormat="1" x14ac:dyDescent="0.35">
      <c r="A46" s="12" t="s">
        <v>875</v>
      </c>
      <c r="B46" s="12" t="s">
        <v>876</v>
      </c>
      <c r="C46" s="12">
        <v>1</v>
      </c>
      <c r="D46" s="13">
        <v>70</v>
      </c>
      <c r="E46" s="13">
        <f>(INVENTARIO!$D46*INVENTARIO!$C46)</f>
        <v>70</v>
      </c>
      <c r="F46" s="21"/>
    </row>
    <row r="47" spans="1:6" s="8" customFormat="1" x14ac:dyDescent="0.35">
      <c r="A47" s="12" t="s">
        <v>352</v>
      </c>
      <c r="B47" s="12" t="s">
        <v>353</v>
      </c>
      <c r="C47" s="12">
        <v>5</v>
      </c>
      <c r="D47" s="13">
        <v>170</v>
      </c>
      <c r="E47" s="13">
        <f>(INVENTARIO!$D47*INVENTARIO!$C47)</f>
        <v>850</v>
      </c>
      <c r="F47" s="21"/>
    </row>
    <row r="48" spans="1:6" x14ac:dyDescent="0.35">
      <c r="A48" s="12" t="s">
        <v>78</v>
      </c>
      <c r="B48" s="12" t="s">
        <v>86</v>
      </c>
      <c r="C48" s="12">
        <v>4</v>
      </c>
      <c r="D48" s="13">
        <v>130</v>
      </c>
      <c r="E48" s="13">
        <f>(INVENTARIO!$D48*INVENTARIO!$C48)</f>
        <v>520</v>
      </c>
      <c r="F48" s="21"/>
    </row>
    <row r="49" spans="1:6" s="8" customFormat="1" x14ac:dyDescent="0.35">
      <c r="A49" s="12" t="s">
        <v>556</v>
      </c>
      <c r="B49" s="12" t="s">
        <v>680</v>
      </c>
      <c r="C49" s="12">
        <v>1</v>
      </c>
      <c r="D49" s="13">
        <v>55</v>
      </c>
      <c r="E49" s="13">
        <f>(INVENTARIO!$D49*INVENTARIO!$C49)</f>
        <v>55</v>
      </c>
      <c r="F49" s="21"/>
    </row>
    <row r="50" spans="1:6" s="8" customFormat="1" x14ac:dyDescent="0.35">
      <c r="A50" s="12" t="s">
        <v>77</v>
      </c>
      <c r="B50" s="12" t="s">
        <v>434</v>
      </c>
      <c r="C50" s="12">
        <v>2</v>
      </c>
      <c r="D50" s="13">
        <v>55</v>
      </c>
      <c r="E50" s="13">
        <f>(INVENTARIO!$D50*INVENTARIO!$C50)</f>
        <v>110</v>
      </c>
      <c r="F50" s="21"/>
    </row>
    <row r="51" spans="1:6" s="8" customFormat="1" x14ac:dyDescent="0.35">
      <c r="A51" s="22" t="s">
        <v>76</v>
      </c>
      <c r="B51" s="22" t="s">
        <v>722</v>
      </c>
      <c r="C51" s="22">
        <v>2</v>
      </c>
      <c r="D51" s="23">
        <v>70</v>
      </c>
      <c r="E51" s="23">
        <f>(INVENTARIO!$D51*INVENTARIO!$C51)</f>
        <v>140</v>
      </c>
      <c r="F51" s="24"/>
    </row>
    <row r="52" spans="1:6" s="9" customFormat="1" x14ac:dyDescent="0.35">
      <c r="A52" s="18" t="s">
        <v>409</v>
      </c>
      <c r="B52" s="18" t="s">
        <v>410</v>
      </c>
      <c r="C52" s="18">
        <v>1</v>
      </c>
      <c r="D52" s="19">
        <v>280</v>
      </c>
      <c r="E52" s="19">
        <f>(INVENTARIO!$D52*INVENTARIO!$C52)</f>
        <v>280</v>
      </c>
      <c r="F52" s="20"/>
    </row>
    <row r="53" spans="1:6" x14ac:dyDescent="0.35">
      <c r="A53" s="15" t="s">
        <v>121</v>
      </c>
      <c r="B53" s="15" t="s">
        <v>148</v>
      </c>
      <c r="C53" s="15">
        <v>0</v>
      </c>
      <c r="D53" s="16">
        <v>25</v>
      </c>
      <c r="E53" s="16">
        <f>(INVENTARIO!$D53*INVENTARIO!$C53)</f>
        <v>0</v>
      </c>
      <c r="F53" s="17"/>
    </row>
    <row r="54" spans="1:6" s="11" customFormat="1" x14ac:dyDescent="0.35">
      <c r="A54" s="12" t="s">
        <v>100</v>
      </c>
      <c r="B54" s="12" t="s">
        <v>469</v>
      </c>
      <c r="C54" s="12">
        <v>8</v>
      </c>
      <c r="D54" s="13">
        <v>35</v>
      </c>
      <c r="E54" s="13">
        <f>(INVENTARIO!$D54*INVENTARIO!$C54)</f>
        <v>280</v>
      </c>
      <c r="F54" s="21"/>
    </row>
    <row r="55" spans="1:6" x14ac:dyDescent="0.35">
      <c r="A55" s="15" t="s">
        <v>122</v>
      </c>
      <c r="B55" s="15" t="s">
        <v>150</v>
      </c>
      <c r="C55" s="15">
        <v>0</v>
      </c>
      <c r="D55" s="16">
        <v>40</v>
      </c>
      <c r="E55" s="16">
        <f>(INVENTARIO!$D55*INVENTARIO!$C55)</f>
        <v>0</v>
      </c>
      <c r="F55" s="17"/>
    </row>
    <row r="56" spans="1:6" s="8" customFormat="1" x14ac:dyDescent="0.35">
      <c r="A56" s="15" t="s">
        <v>644</v>
      </c>
      <c r="B56" s="15" t="s">
        <v>645</v>
      </c>
      <c r="C56" s="15">
        <v>0</v>
      </c>
      <c r="D56" s="16">
        <v>30</v>
      </c>
      <c r="E56" s="16">
        <f>(INVENTARIO!$D56*INVENTARIO!$C56)</f>
        <v>0</v>
      </c>
      <c r="F56" s="17"/>
    </row>
    <row r="57" spans="1:6" s="8" customFormat="1" x14ac:dyDescent="0.35">
      <c r="A57" s="22" t="s">
        <v>917</v>
      </c>
      <c r="B57" s="22" t="s">
        <v>926</v>
      </c>
      <c r="C57" s="22">
        <v>3</v>
      </c>
      <c r="D57" s="23">
        <v>60</v>
      </c>
      <c r="E57" s="23">
        <f>(INVENTARIO!$D57*INVENTARIO!$C57)</f>
        <v>180</v>
      </c>
      <c r="F57" s="24"/>
    </row>
    <row r="58" spans="1:6" s="8" customFormat="1" x14ac:dyDescent="0.35">
      <c r="A58" s="18" t="s">
        <v>916</v>
      </c>
      <c r="B58" s="18" t="s">
        <v>925</v>
      </c>
      <c r="C58" s="18">
        <v>3</v>
      </c>
      <c r="D58" s="19">
        <v>40</v>
      </c>
      <c r="E58" s="19">
        <f>(INVENTARIO!$D58*INVENTARIO!$C58)</f>
        <v>120</v>
      </c>
      <c r="F58" s="20"/>
    </row>
    <row r="59" spans="1:6" x14ac:dyDescent="0.35">
      <c r="A59" s="22" t="s">
        <v>373</v>
      </c>
      <c r="B59" s="22" t="s">
        <v>739</v>
      </c>
      <c r="C59" s="22">
        <v>1</v>
      </c>
      <c r="D59" s="23">
        <v>15</v>
      </c>
      <c r="E59" s="23">
        <f>(INVENTARIO!$D59*INVENTARIO!$C59)</f>
        <v>15</v>
      </c>
      <c r="F59" s="24"/>
    </row>
    <row r="60" spans="1:6" x14ac:dyDescent="0.35">
      <c r="A60" s="18" t="s">
        <v>120</v>
      </c>
      <c r="B60" s="18" t="s">
        <v>149</v>
      </c>
      <c r="C60" s="18">
        <v>2</v>
      </c>
      <c r="D60" s="19">
        <v>35</v>
      </c>
      <c r="E60" s="19">
        <f>(INVENTARIO!$D60*INVENTARIO!$C60)</f>
        <v>70</v>
      </c>
      <c r="F60" s="20"/>
    </row>
    <row r="61" spans="1:6" x14ac:dyDescent="0.35">
      <c r="A61" s="15" t="s">
        <v>485</v>
      </c>
      <c r="B61" s="15" t="s">
        <v>486</v>
      </c>
      <c r="C61" s="15">
        <v>0</v>
      </c>
      <c r="D61" s="16">
        <v>50</v>
      </c>
      <c r="E61" s="16">
        <f>(INVENTARIO!$D61*INVENTARIO!$C61)</f>
        <v>0</v>
      </c>
      <c r="F61" s="17"/>
    </row>
    <row r="62" spans="1:6" x14ac:dyDescent="0.35">
      <c r="A62" s="12" t="s">
        <v>337</v>
      </c>
      <c r="B62" s="12" t="s">
        <v>338</v>
      </c>
      <c r="C62" s="12">
        <v>1</v>
      </c>
      <c r="D62" s="13">
        <v>60</v>
      </c>
      <c r="E62" s="13">
        <f>(INVENTARIO!$D62*INVENTARIO!$C62)</f>
        <v>60</v>
      </c>
      <c r="F62" s="21"/>
    </row>
    <row r="63" spans="1:6" s="11" customFormat="1" x14ac:dyDescent="0.35">
      <c r="A63" s="15" t="s">
        <v>937</v>
      </c>
      <c r="B63" s="15" t="s">
        <v>938</v>
      </c>
      <c r="C63" s="15">
        <v>0</v>
      </c>
      <c r="D63" s="16">
        <v>40</v>
      </c>
      <c r="E63" s="16">
        <f>(INVENTARIO!$D63*INVENTARIO!$C63)</f>
        <v>0</v>
      </c>
      <c r="F63" s="17"/>
    </row>
    <row r="64" spans="1:6" x14ac:dyDescent="0.35">
      <c r="A64" s="18" t="s">
        <v>641</v>
      </c>
      <c r="B64" s="18" t="s">
        <v>642</v>
      </c>
      <c r="C64" s="18">
        <v>1</v>
      </c>
      <c r="D64" s="19">
        <v>60</v>
      </c>
      <c r="E64" s="19">
        <f>(INVENTARIO!$D64*INVENTARIO!$C64)</f>
        <v>60</v>
      </c>
      <c r="F64" s="20"/>
    </row>
    <row r="65" spans="1:6" x14ac:dyDescent="0.35">
      <c r="A65" s="22" t="s">
        <v>643</v>
      </c>
      <c r="B65" s="22" t="s">
        <v>828</v>
      </c>
      <c r="C65" s="22">
        <v>6</v>
      </c>
      <c r="D65" s="23">
        <v>40</v>
      </c>
      <c r="E65" s="23">
        <f>(INVENTARIO!$D65*INVENTARIO!$C65)</f>
        <v>240</v>
      </c>
      <c r="F65" s="24"/>
    </row>
    <row r="66" spans="1:6" x14ac:dyDescent="0.35">
      <c r="A66" s="18" t="s">
        <v>681</v>
      </c>
      <c r="B66" s="18" t="s">
        <v>682</v>
      </c>
      <c r="C66" s="18">
        <v>7</v>
      </c>
      <c r="D66" s="19">
        <v>40</v>
      </c>
      <c r="E66" s="19">
        <f>(INVENTARIO!$D66*INVENTARIO!$C66)</f>
        <v>280</v>
      </c>
      <c r="F66" s="20"/>
    </row>
    <row r="67" spans="1:6" x14ac:dyDescent="0.35">
      <c r="A67" s="12" t="s">
        <v>233</v>
      </c>
      <c r="B67" s="12" t="s">
        <v>698</v>
      </c>
      <c r="C67" s="12">
        <v>4</v>
      </c>
      <c r="D67" s="13">
        <v>25</v>
      </c>
      <c r="E67" s="13">
        <f>(INVENTARIO!$D67*INVENTARIO!$C67)</f>
        <v>100</v>
      </c>
      <c r="F67" s="21"/>
    </row>
    <row r="68" spans="1:6" x14ac:dyDescent="0.35">
      <c r="A68" s="18" t="s">
        <v>221</v>
      </c>
      <c r="B68" s="18" t="s">
        <v>291</v>
      </c>
      <c r="C68" s="18">
        <v>16</v>
      </c>
      <c r="D68" s="19">
        <v>6</v>
      </c>
      <c r="E68" s="19">
        <f>(INVENTARIO!$D68*INVENTARIO!$C68)</f>
        <v>96</v>
      </c>
      <c r="F68" s="20"/>
    </row>
    <row r="69" spans="1:6" s="8" customFormat="1" x14ac:dyDescent="0.35">
      <c r="A69" s="12" t="s">
        <v>446</v>
      </c>
      <c r="B69" s="12" t="s">
        <v>447</v>
      </c>
      <c r="C69" s="12">
        <v>1</v>
      </c>
      <c r="D69" s="13">
        <v>65</v>
      </c>
      <c r="E69" s="13">
        <f>(INVENTARIO!$D69*INVENTARIO!$C69)</f>
        <v>65</v>
      </c>
      <c r="F69" s="21"/>
    </row>
    <row r="70" spans="1:6" x14ac:dyDescent="0.35">
      <c r="A70" s="18" t="s">
        <v>1049</v>
      </c>
      <c r="B70" s="18" t="s">
        <v>1050</v>
      </c>
      <c r="C70" s="18">
        <v>4</v>
      </c>
      <c r="D70" s="19">
        <v>80</v>
      </c>
      <c r="E70" s="19">
        <f>(INVENTARIO!$D70*INVENTARIO!$C70)</f>
        <v>320</v>
      </c>
      <c r="F70" s="20"/>
    </row>
    <row r="71" spans="1:6" s="8" customFormat="1" x14ac:dyDescent="0.35">
      <c r="A71" s="22" t="s">
        <v>46</v>
      </c>
      <c r="B71" s="22" t="s">
        <v>48</v>
      </c>
      <c r="C71" s="22">
        <v>4</v>
      </c>
      <c r="D71" s="23">
        <v>35</v>
      </c>
      <c r="E71" s="23">
        <f>(INVENTARIO!$D71*INVENTARIO!$C71)</f>
        <v>140</v>
      </c>
      <c r="F71" s="24"/>
    </row>
    <row r="72" spans="1:6" x14ac:dyDescent="0.35">
      <c r="A72" s="18" t="s">
        <v>247</v>
      </c>
      <c r="B72" s="18" t="s">
        <v>307</v>
      </c>
      <c r="C72" s="29">
        <v>7</v>
      </c>
      <c r="D72" s="19">
        <v>15</v>
      </c>
      <c r="E72" s="19">
        <f>(INVENTARIO!$D72*INVENTARIO!$C72)</f>
        <v>105</v>
      </c>
      <c r="F72" s="20"/>
    </row>
    <row r="73" spans="1:6" s="8" customFormat="1" x14ac:dyDescent="0.35">
      <c r="A73" s="22" t="s">
        <v>313</v>
      </c>
      <c r="B73" s="22" t="s">
        <v>319</v>
      </c>
      <c r="C73" s="22">
        <v>12</v>
      </c>
      <c r="D73" s="23">
        <v>6</v>
      </c>
      <c r="E73" s="23">
        <f>(INVENTARIO!$D73*INVENTARIO!$C73)</f>
        <v>72</v>
      </c>
      <c r="F73" s="24"/>
    </row>
    <row r="74" spans="1:6" x14ac:dyDescent="0.35">
      <c r="A74" s="18" t="s">
        <v>651</v>
      </c>
      <c r="B74" s="18" t="s">
        <v>891</v>
      </c>
      <c r="C74" s="18">
        <v>9</v>
      </c>
      <c r="D74" s="19">
        <v>12</v>
      </c>
      <c r="E74" s="19">
        <f>(INVENTARIO!$D74*INVENTARIO!$C74)</f>
        <v>108</v>
      </c>
      <c r="F74" s="20"/>
    </row>
    <row r="75" spans="1:6" s="8" customFormat="1" x14ac:dyDescent="0.35">
      <c r="A75" s="22" t="s">
        <v>237</v>
      </c>
      <c r="B75" s="22" t="s">
        <v>892</v>
      </c>
      <c r="C75" s="22">
        <v>12</v>
      </c>
      <c r="D75" s="23">
        <v>12</v>
      </c>
      <c r="E75" s="23">
        <f>(INVENTARIO!$D75*INVENTARIO!$C75)</f>
        <v>144</v>
      </c>
      <c r="F75" s="24"/>
    </row>
    <row r="76" spans="1:6" s="8" customFormat="1" x14ac:dyDescent="0.35">
      <c r="A76" s="12" t="s">
        <v>810</v>
      </c>
      <c r="B76" s="18" t="s">
        <v>811</v>
      </c>
      <c r="C76" s="18">
        <v>3</v>
      </c>
      <c r="D76" s="19">
        <v>10</v>
      </c>
      <c r="E76" s="19">
        <f>(INVENTARIO!$D76*INVENTARIO!$C76)</f>
        <v>30</v>
      </c>
      <c r="F76" s="20"/>
    </row>
    <row r="77" spans="1:6" s="8" customFormat="1" x14ac:dyDescent="0.35">
      <c r="A77" s="22" t="s">
        <v>238</v>
      </c>
      <c r="B77" s="22" t="s">
        <v>304</v>
      </c>
      <c r="C77" s="22">
        <v>4</v>
      </c>
      <c r="D77" s="23">
        <v>13</v>
      </c>
      <c r="E77" s="23">
        <f>(INVENTARIO!$D77*INVENTARIO!$C77)</f>
        <v>52</v>
      </c>
      <c r="F77" s="24"/>
    </row>
    <row r="78" spans="1:6" s="8" customFormat="1" x14ac:dyDescent="0.35">
      <c r="A78" s="18" t="s">
        <v>1012</v>
      </c>
      <c r="B78" s="18" t="s">
        <v>1016</v>
      </c>
      <c r="C78" s="18">
        <v>20</v>
      </c>
      <c r="D78" s="19">
        <v>10</v>
      </c>
      <c r="E78" s="19">
        <f>(INVENTARIO!$D78*INVENTARIO!$C78)</f>
        <v>200</v>
      </c>
      <c r="F78" s="20"/>
    </row>
    <row r="79" spans="1:6" x14ac:dyDescent="0.35">
      <c r="A79" s="22" t="s">
        <v>578</v>
      </c>
      <c r="B79" s="22" t="s">
        <v>1005</v>
      </c>
      <c r="C79" s="22">
        <v>11</v>
      </c>
      <c r="D79" s="23">
        <v>10</v>
      </c>
      <c r="E79" s="23">
        <f>(INVENTARIO!$D79*INVENTARIO!$C79)</f>
        <v>110</v>
      </c>
      <c r="F79" s="24"/>
    </row>
    <row r="80" spans="1:6" s="8" customFormat="1" x14ac:dyDescent="0.35">
      <c r="A80" s="18" t="s">
        <v>893</v>
      </c>
      <c r="B80" s="18" t="s">
        <v>894</v>
      </c>
      <c r="C80" s="18">
        <v>1</v>
      </c>
      <c r="D80" s="19">
        <v>20</v>
      </c>
      <c r="E80" s="19">
        <f>(INVENTARIO!$D80*INVENTARIO!$C80)</f>
        <v>20</v>
      </c>
      <c r="F80" s="20"/>
    </row>
    <row r="81" spans="1:6" s="8" customFormat="1" x14ac:dyDescent="0.35">
      <c r="A81" s="12" t="s">
        <v>539</v>
      </c>
      <c r="B81" s="12" t="s">
        <v>540</v>
      </c>
      <c r="C81" s="12">
        <v>98</v>
      </c>
      <c r="D81" s="13">
        <v>5</v>
      </c>
      <c r="E81" s="13">
        <f>(INVENTARIO!$D81*INVENTARIO!$C81)</f>
        <v>490</v>
      </c>
      <c r="F81" s="21"/>
    </row>
    <row r="82" spans="1:6" s="8" customFormat="1" x14ac:dyDescent="0.35">
      <c r="A82" s="18" t="s">
        <v>737</v>
      </c>
      <c r="B82" s="18" t="s">
        <v>738</v>
      </c>
      <c r="C82" s="18">
        <v>12</v>
      </c>
      <c r="D82" s="19">
        <v>6</v>
      </c>
      <c r="E82" s="19">
        <f>(INVENTARIO!$D82*INVENTARIO!$C82)</f>
        <v>72</v>
      </c>
      <c r="F82" s="20"/>
    </row>
    <row r="83" spans="1:6" s="8" customFormat="1" ht="24" customHeight="1" x14ac:dyDescent="0.35">
      <c r="A83" s="22" t="s">
        <v>1011</v>
      </c>
      <c r="B83" s="22" t="s">
        <v>1015</v>
      </c>
      <c r="C83" s="22">
        <v>10</v>
      </c>
      <c r="D83" s="23">
        <v>6</v>
      </c>
      <c r="E83" s="23">
        <f>(INVENTARIO!$D83*INVENTARIO!$C83)</f>
        <v>60</v>
      </c>
      <c r="F83" s="24"/>
    </row>
    <row r="84" spans="1:6" s="8" customFormat="1" x14ac:dyDescent="0.35">
      <c r="A84" s="12" t="s">
        <v>442</v>
      </c>
      <c r="B84" s="12" t="s">
        <v>1048</v>
      </c>
      <c r="C84" s="12">
        <v>4</v>
      </c>
      <c r="D84" s="13">
        <v>55</v>
      </c>
      <c r="E84" s="13">
        <f>(INVENTARIO!$D84*INVENTARIO!$C84)</f>
        <v>220</v>
      </c>
      <c r="F84" s="21"/>
    </row>
    <row r="85" spans="1:6" x14ac:dyDescent="0.35">
      <c r="A85" s="22" t="s">
        <v>7</v>
      </c>
      <c r="B85" s="22" t="s">
        <v>679</v>
      </c>
      <c r="C85" s="22">
        <v>6</v>
      </c>
      <c r="D85" s="23">
        <v>45</v>
      </c>
      <c r="E85" s="23">
        <f>(INVENTARIO!$D85*INVENTARIO!$C85)</f>
        <v>270</v>
      </c>
      <c r="F85" s="24"/>
    </row>
    <row r="86" spans="1:6" s="8" customFormat="1" x14ac:dyDescent="0.35">
      <c r="A86" s="15" t="s">
        <v>541</v>
      </c>
      <c r="B86" s="15" t="s">
        <v>672</v>
      </c>
      <c r="C86" s="15">
        <v>0</v>
      </c>
      <c r="D86" s="16">
        <v>55</v>
      </c>
      <c r="E86" s="16">
        <f>(INVENTARIO!$D86*INVENTARIO!$C86)</f>
        <v>0</v>
      </c>
      <c r="F86" s="17"/>
    </row>
    <row r="87" spans="1:6" s="8" customFormat="1" x14ac:dyDescent="0.35">
      <c r="A87" s="12" t="s">
        <v>94</v>
      </c>
      <c r="B87" s="12" t="s">
        <v>136</v>
      </c>
      <c r="C87" s="12">
        <v>14</v>
      </c>
      <c r="D87" s="13">
        <v>10</v>
      </c>
      <c r="E87" s="13">
        <f>(INVENTARIO!$D87*INVENTARIO!$C87)</f>
        <v>140</v>
      </c>
      <c r="F87" s="21"/>
    </row>
    <row r="88" spans="1:6" s="11" customFormat="1" ht="24" customHeight="1" x14ac:dyDescent="0.35">
      <c r="A88" s="18" t="s">
        <v>93</v>
      </c>
      <c r="B88" s="18" t="s">
        <v>528</v>
      </c>
      <c r="C88" s="18">
        <v>8</v>
      </c>
      <c r="D88" s="19">
        <v>10</v>
      </c>
      <c r="E88" s="19">
        <f>(INVENTARIO!$D88*INVENTARIO!$C88)</f>
        <v>80</v>
      </c>
      <c r="F88" s="20"/>
    </row>
    <row r="89" spans="1:6" s="11" customFormat="1" x14ac:dyDescent="0.35">
      <c r="A89" s="15" t="s">
        <v>370</v>
      </c>
      <c r="B89" s="15" t="s">
        <v>379</v>
      </c>
      <c r="C89" s="15">
        <v>0</v>
      </c>
      <c r="D89" s="16">
        <v>220</v>
      </c>
      <c r="E89" s="16">
        <f>(INVENTARIO!$D89*INVENTARIO!$C89)</f>
        <v>0</v>
      </c>
      <c r="F89" s="17"/>
    </row>
    <row r="90" spans="1:6" x14ac:dyDescent="0.35">
      <c r="A90" s="30" t="s">
        <v>83</v>
      </c>
      <c r="B90" s="30" t="s">
        <v>134</v>
      </c>
      <c r="C90" s="30">
        <v>0</v>
      </c>
      <c r="D90" s="31">
        <v>220</v>
      </c>
      <c r="E90" s="31">
        <f>(INVENTARIO!$D90*INVENTARIO!$C90)</f>
        <v>0</v>
      </c>
      <c r="F90" s="32"/>
    </row>
    <row r="91" spans="1:6" x14ac:dyDescent="0.35">
      <c r="A91" s="15" t="s">
        <v>480</v>
      </c>
      <c r="B91" s="15" t="s">
        <v>697</v>
      </c>
      <c r="C91" s="15">
        <v>0</v>
      </c>
      <c r="D91" s="16">
        <v>240</v>
      </c>
      <c r="E91" s="16">
        <f>(INVENTARIO!$D91*INVENTARIO!$C91)</f>
        <v>0</v>
      </c>
      <c r="F91" s="17"/>
    </row>
    <row r="92" spans="1:6" s="8" customFormat="1" x14ac:dyDescent="0.35">
      <c r="A92" s="12" t="s">
        <v>82</v>
      </c>
      <c r="B92" s="12" t="s">
        <v>133</v>
      </c>
      <c r="C92" s="12">
        <v>1</v>
      </c>
      <c r="D92" s="13">
        <v>320</v>
      </c>
      <c r="E92" s="13">
        <f>(INVENTARIO!$D92*INVENTARIO!$C92)</f>
        <v>320</v>
      </c>
      <c r="F92" s="21"/>
    </row>
    <row r="93" spans="1:6" x14ac:dyDescent="0.35">
      <c r="A93" s="22" t="s">
        <v>1051</v>
      </c>
      <c r="B93" s="22" t="s">
        <v>1052</v>
      </c>
      <c r="C93" s="22">
        <v>2</v>
      </c>
      <c r="D93" s="23">
        <v>280</v>
      </c>
      <c r="E93" s="23">
        <f>(INVENTARIO!$D93*INVENTARIO!$C93)</f>
        <v>560</v>
      </c>
      <c r="F93" s="24"/>
    </row>
    <row r="94" spans="1:6" x14ac:dyDescent="0.35">
      <c r="A94" s="18" t="s">
        <v>919</v>
      </c>
      <c r="B94" s="18" t="s">
        <v>929</v>
      </c>
      <c r="C94" s="18">
        <v>4</v>
      </c>
      <c r="D94" s="19">
        <v>40</v>
      </c>
      <c r="E94" s="19">
        <f>(INVENTARIO!$D94*INVENTARIO!$C94)</f>
        <v>160</v>
      </c>
      <c r="F94" s="20"/>
    </row>
    <row r="95" spans="1:6" x14ac:dyDescent="0.35">
      <c r="A95" s="22" t="s">
        <v>372</v>
      </c>
      <c r="B95" s="22" t="s">
        <v>381</v>
      </c>
      <c r="C95" s="22">
        <v>4</v>
      </c>
      <c r="D95" s="23">
        <v>40</v>
      </c>
      <c r="E95" s="23">
        <f>(INVENTARIO!$D95*INVENTARIO!$C95)</f>
        <v>160</v>
      </c>
      <c r="F95" s="24"/>
    </row>
    <row r="96" spans="1:6" s="8" customFormat="1" x14ac:dyDescent="0.35">
      <c r="A96" s="18" t="s">
        <v>241</v>
      </c>
      <c r="B96" s="18" t="s">
        <v>384</v>
      </c>
      <c r="C96" s="18">
        <v>14</v>
      </c>
      <c r="D96" s="19">
        <v>30</v>
      </c>
      <c r="E96" s="19">
        <f>(INVENTARIO!$D96*INVENTARIO!$C96)</f>
        <v>420</v>
      </c>
      <c r="F96" s="20"/>
    </row>
    <row r="97" spans="1:6" s="8" customFormat="1" x14ac:dyDescent="0.35">
      <c r="A97" s="22" t="s">
        <v>124</v>
      </c>
      <c r="B97" s="22" t="s">
        <v>152</v>
      </c>
      <c r="C97" s="22">
        <v>24</v>
      </c>
      <c r="D97" s="23">
        <v>6</v>
      </c>
      <c r="E97" s="23">
        <f>(INVENTARIO!$D97*INVENTARIO!$C97)</f>
        <v>144</v>
      </c>
      <c r="F97" s="24"/>
    </row>
    <row r="98" spans="1:6" x14ac:dyDescent="0.35">
      <c r="A98" s="18" t="s">
        <v>395</v>
      </c>
      <c r="B98" s="18" t="s">
        <v>1003</v>
      </c>
      <c r="C98" s="18">
        <v>11</v>
      </c>
      <c r="D98" s="19">
        <v>8</v>
      </c>
      <c r="E98" s="19">
        <f>(INVENTARIO!$D98*INVENTARIO!$C98)</f>
        <v>88</v>
      </c>
      <c r="F98" s="20"/>
    </row>
    <row r="99" spans="1:6" s="8" customFormat="1" x14ac:dyDescent="0.35">
      <c r="A99" s="12" t="s">
        <v>731</v>
      </c>
      <c r="B99" s="12" t="s">
        <v>727</v>
      </c>
      <c r="C99" s="12">
        <v>9</v>
      </c>
      <c r="D99" s="13">
        <v>40</v>
      </c>
      <c r="E99" s="13">
        <f>(INVENTARIO!$D99*INVENTARIO!$C99)</f>
        <v>360</v>
      </c>
      <c r="F99" s="21"/>
    </row>
    <row r="100" spans="1:6" s="8" customFormat="1" x14ac:dyDescent="0.35">
      <c r="A100" s="12" t="s">
        <v>732</v>
      </c>
      <c r="B100" s="12" t="s">
        <v>728</v>
      </c>
      <c r="C100" s="12">
        <v>10</v>
      </c>
      <c r="D100" s="13">
        <v>40</v>
      </c>
      <c r="E100" s="13">
        <f>(INVENTARIO!$D100*INVENTARIO!$C100)</f>
        <v>400</v>
      </c>
      <c r="F100" s="21"/>
    </row>
    <row r="101" spans="1:6" s="8" customFormat="1" x14ac:dyDescent="0.35">
      <c r="A101" s="22" t="s">
        <v>733</v>
      </c>
      <c r="B101" s="22" t="s">
        <v>729</v>
      </c>
      <c r="C101" s="22">
        <v>1</v>
      </c>
      <c r="D101" s="23">
        <v>65</v>
      </c>
      <c r="E101" s="23">
        <f>(INVENTARIO!$D101*INVENTARIO!$C101)</f>
        <v>65</v>
      </c>
      <c r="F101" s="24"/>
    </row>
    <row r="102" spans="1:6" s="8" customFormat="1" x14ac:dyDescent="0.35">
      <c r="A102" s="18" t="s">
        <v>734</v>
      </c>
      <c r="B102" s="18" t="s">
        <v>730</v>
      </c>
      <c r="C102" s="18">
        <v>5</v>
      </c>
      <c r="D102" s="19">
        <v>65</v>
      </c>
      <c r="E102" s="19">
        <f>(INVENTARIO!$D102*INVENTARIO!$C102)</f>
        <v>325</v>
      </c>
      <c r="F102" s="20"/>
    </row>
    <row r="103" spans="1:6" s="8" customFormat="1" x14ac:dyDescent="0.35">
      <c r="A103" s="12" t="s">
        <v>159</v>
      </c>
      <c r="B103" s="12" t="s">
        <v>383</v>
      </c>
      <c r="C103" s="12">
        <v>2</v>
      </c>
      <c r="D103" s="13">
        <v>45</v>
      </c>
      <c r="E103" s="13">
        <f>(INVENTARIO!$D103*INVENTARIO!$C103)</f>
        <v>90</v>
      </c>
      <c r="F103" s="21"/>
    </row>
    <row r="104" spans="1:6" x14ac:dyDescent="0.35">
      <c r="A104" s="12" t="s">
        <v>685</v>
      </c>
      <c r="B104" s="12" t="s">
        <v>996</v>
      </c>
      <c r="C104" s="12">
        <v>1</v>
      </c>
      <c r="D104" s="13">
        <v>60</v>
      </c>
      <c r="E104" s="13">
        <f>(INVENTARIO!$D104*INVENTARIO!$C104)</f>
        <v>60</v>
      </c>
      <c r="F104" s="21"/>
    </row>
    <row r="105" spans="1:6" x14ac:dyDescent="0.35">
      <c r="A105" s="12" t="s">
        <v>158</v>
      </c>
      <c r="B105" s="12" t="s">
        <v>701</v>
      </c>
      <c r="C105" s="12">
        <v>2</v>
      </c>
      <c r="D105" s="13">
        <v>60</v>
      </c>
      <c r="E105" s="13">
        <f>(INVENTARIO!$D105*INVENTARIO!$C105)</f>
        <v>120</v>
      </c>
      <c r="F105" s="21"/>
    </row>
    <row r="106" spans="1:6" s="8" customFormat="1" x14ac:dyDescent="0.35">
      <c r="A106" s="18" t="s">
        <v>569</v>
      </c>
      <c r="B106" s="18" t="s">
        <v>574</v>
      </c>
      <c r="C106" s="18">
        <v>3</v>
      </c>
      <c r="D106" s="19">
        <v>40</v>
      </c>
      <c r="E106" s="19">
        <f>(INVENTARIO!$D106*INVENTARIO!$C106)</f>
        <v>120</v>
      </c>
      <c r="F106" s="20"/>
    </row>
    <row r="107" spans="1:6" s="8" customFormat="1" x14ac:dyDescent="0.35">
      <c r="A107" s="22" t="s">
        <v>873</v>
      </c>
      <c r="B107" s="22" t="s">
        <v>874</v>
      </c>
      <c r="C107" s="22">
        <v>1</v>
      </c>
      <c r="D107" s="23">
        <v>65</v>
      </c>
      <c r="E107" s="23">
        <f>(INVENTARIO!$D107*INVENTARIO!$C107)</f>
        <v>65</v>
      </c>
      <c r="F107" s="24"/>
    </row>
    <row r="108" spans="1:6" x14ac:dyDescent="0.35">
      <c r="A108" s="18" t="s">
        <v>864</v>
      </c>
      <c r="B108" s="18" t="s">
        <v>866</v>
      </c>
      <c r="C108" s="18">
        <v>3</v>
      </c>
      <c r="D108" s="19">
        <v>45</v>
      </c>
      <c r="E108" s="19">
        <f>(INVENTARIO!$D108*INVENTARIO!$C108)</f>
        <v>135</v>
      </c>
      <c r="F108" s="20"/>
    </row>
    <row r="109" spans="1:6" s="8" customFormat="1" x14ac:dyDescent="0.35">
      <c r="A109" s="22" t="s">
        <v>759</v>
      </c>
      <c r="B109" s="22" t="s">
        <v>760</v>
      </c>
      <c r="C109" s="22">
        <v>1</v>
      </c>
      <c r="D109" s="23">
        <v>350</v>
      </c>
      <c r="E109" s="23">
        <f>(INVENTARIO!$D109*INVENTARIO!$C109)</f>
        <v>350</v>
      </c>
      <c r="F109" s="24"/>
    </row>
    <row r="110" spans="1:6" s="8" customFormat="1" x14ac:dyDescent="0.35">
      <c r="A110" s="12" t="s">
        <v>80</v>
      </c>
      <c r="B110" s="12" t="s">
        <v>748</v>
      </c>
      <c r="C110" s="12">
        <v>1</v>
      </c>
      <c r="D110" s="13">
        <v>450</v>
      </c>
      <c r="E110" s="13">
        <f>(INVENTARIO!$D110*INVENTARIO!$C110)</f>
        <v>450</v>
      </c>
      <c r="F110" s="21"/>
    </row>
    <row r="111" spans="1:6" s="8" customFormat="1" x14ac:dyDescent="0.35">
      <c r="A111" s="22" t="s">
        <v>481</v>
      </c>
      <c r="B111" s="22" t="s">
        <v>482</v>
      </c>
      <c r="C111" s="22">
        <v>1</v>
      </c>
      <c r="D111" s="23">
        <v>50</v>
      </c>
      <c r="E111" s="23">
        <f>(INVENTARIO!$D111*INVENTARIO!$C111)</f>
        <v>50</v>
      </c>
      <c r="F111" s="24"/>
    </row>
    <row r="112" spans="1:6" s="8" customFormat="1" x14ac:dyDescent="0.35">
      <c r="A112" s="12" t="s">
        <v>385</v>
      </c>
      <c r="B112" s="12" t="s">
        <v>386</v>
      </c>
      <c r="C112" s="12">
        <v>1</v>
      </c>
      <c r="D112" s="13">
        <v>75</v>
      </c>
      <c r="E112" s="13">
        <f>(INVENTARIO!$D112*INVENTARIO!$C112)</f>
        <v>75</v>
      </c>
      <c r="F112" s="21"/>
    </row>
    <row r="113" spans="1:6" s="8" customFormat="1" x14ac:dyDescent="0.35">
      <c r="A113" s="12" t="s">
        <v>457</v>
      </c>
      <c r="B113" s="12" t="s">
        <v>458</v>
      </c>
      <c r="C113" s="12">
        <v>2</v>
      </c>
      <c r="D113" s="13">
        <v>50</v>
      </c>
      <c r="E113" s="13">
        <f>(INVENTARIO!$D113*INVENTARIO!$C113)</f>
        <v>100</v>
      </c>
      <c r="F113" s="21"/>
    </row>
    <row r="114" spans="1:6" s="8" customFormat="1" x14ac:dyDescent="0.35">
      <c r="A114" s="18" t="s">
        <v>483</v>
      </c>
      <c r="B114" s="18" t="s">
        <v>484</v>
      </c>
      <c r="C114" s="18">
        <v>1</v>
      </c>
      <c r="D114" s="19">
        <v>35</v>
      </c>
      <c r="E114" s="19">
        <f>(INVENTARIO!$D114*INVENTARIO!$C114)</f>
        <v>35</v>
      </c>
      <c r="F114" s="20"/>
    </row>
    <row r="115" spans="1:6" s="11" customFormat="1" x14ac:dyDescent="0.35">
      <c r="A115" s="12" t="s">
        <v>355</v>
      </c>
      <c r="B115" s="12" t="s">
        <v>356</v>
      </c>
      <c r="C115" s="12">
        <v>2</v>
      </c>
      <c r="D115" s="13">
        <v>55</v>
      </c>
      <c r="E115" s="13">
        <f>(INVENTARIO!$D115*INVENTARIO!$C115)</f>
        <v>110</v>
      </c>
      <c r="F115" s="21"/>
    </row>
    <row r="116" spans="1:6" x14ac:dyDescent="0.35">
      <c r="A116" s="12" t="s">
        <v>459</v>
      </c>
      <c r="B116" s="12" t="s">
        <v>460</v>
      </c>
      <c r="C116" s="12">
        <v>2</v>
      </c>
      <c r="D116" s="13">
        <v>35</v>
      </c>
      <c r="E116" s="13">
        <f>(INVENTARIO!$D116*INVENTARIO!$C116)</f>
        <v>70</v>
      </c>
      <c r="F116" s="21"/>
    </row>
    <row r="117" spans="1:6" s="8" customFormat="1" x14ac:dyDescent="0.35">
      <c r="A117" s="12" t="s">
        <v>362</v>
      </c>
      <c r="B117" s="12" t="s">
        <v>363</v>
      </c>
      <c r="C117" s="12">
        <v>1</v>
      </c>
      <c r="D117" s="13">
        <v>85</v>
      </c>
      <c r="E117" s="13">
        <f>(INVENTARIO!$D117*INVENTARIO!$C117)</f>
        <v>85</v>
      </c>
      <c r="F117" s="21"/>
    </row>
    <row r="118" spans="1:6" s="8" customFormat="1" x14ac:dyDescent="0.35">
      <c r="A118" s="12" t="s">
        <v>44</v>
      </c>
      <c r="B118" s="12" t="s">
        <v>361</v>
      </c>
      <c r="C118" s="12">
        <v>3</v>
      </c>
      <c r="D118" s="13">
        <v>35</v>
      </c>
      <c r="E118" s="13">
        <f>(INVENTARIO!$D118*INVENTARIO!$C118)</f>
        <v>105</v>
      </c>
      <c r="F118" s="21"/>
    </row>
    <row r="119" spans="1:6" s="8" customFormat="1" x14ac:dyDescent="0.35">
      <c r="A119" s="15" t="s">
        <v>21</v>
      </c>
      <c r="B119" s="15" t="s">
        <v>616</v>
      </c>
      <c r="C119" s="15">
        <v>0</v>
      </c>
      <c r="D119" s="16">
        <v>65</v>
      </c>
      <c r="E119" s="16">
        <f>(INVENTARIO!$D119*INVENTARIO!$C119)</f>
        <v>0</v>
      </c>
      <c r="F119" s="17"/>
    </row>
    <row r="120" spans="1:6" x14ac:dyDescent="0.35">
      <c r="A120" s="18" t="s">
        <v>28</v>
      </c>
      <c r="B120" s="18" t="s">
        <v>29</v>
      </c>
      <c r="C120" s="18">
        <v>3</v>
      </c>
      <c r="D120" s="19">
        <v>65</v>
      </c>
      <c r="E120" s="19">
        <f>(INVENTARIO!$D120*INVENTARIO!$C120)</f>
        <v>195</v>
      </c>
      <c r="F120" s="33"/>
    </row>
    <row r="121" spans="1:6" x14ac:dyDescent="0.35">
      <c r="A121" s="22" t="s">
        <v>32</v>
      </c>
      <c r="B121" s="22" t="s">
        <v>33</v>
      </c>
      <c r="C121" s="22">
        <v>1</v>
      </c>
      <c r="D121" s="23">
        <v>75</v>
      </c>
      <c r="E121" s="23">
        <f>(INVENTARIO!$D121*INVENTARIO!$C121)</f>
        <v>75</v>
      </c>
      <c r="F121" s="24"/>
    </row>
    <row r="122" spans="1:6" s="8" customFormat="1" x14ac:dyDescent="0.35">
      <c r="A122" s="12" t="s">
        <v>30</v>
      </c>
      <c r="B122" s="12" t="s">
        <v>31</v>
      </c>
      <c r="C122" s="12">
        <v>1</v>
      </c>
      <c r="D122" s="13">
        <v>60</v>
      </c>
      <c r="E122" s="13">
        <f>(INVENTARIO!$D122*INVENTARIO!$C122)</f>
        <v>60</v>
      </c>
      <c r="F122" s="21"/>
    </row>
    <row r="123" spans="1:6" s="8" customFormat="1" x14ac:dyDescent="0.35">
      <c r="A123" s="12" t="s">
        <v>20</v>
      </c>
      <c r="B123" s="12" t="s">
        <v>25</v>
      </c>
      <c r="C123" s="12">
        <v>2</v>
      </c>
      <c r="D123" s="13">
        <v>65</v>
      </c>
      <c r="E123" s="13">
        <f>(INVENTARIO!$D123*INVENTARIO!$C123)</f>
        <v>130</v>
      </c>
      <c r="F123" s="21"/>
    </row>
    <row r="124" spans="1:6" x14ac:dyDescent="0.35">
      <c r="A124" s="18" t="s">
        <v>18</v>
      </c>
      <c r="B124" s="18" t="s">
        <v>27</v>
      </c>
      <c r="C124" s="18">
        <v>4</v>
      </c>
      <c r="D124" s="19">
        <v>50</v>
      </c>
      <c r="E124" s="19">
        <f>(INVENTARIO!$D124*INVENTARIO!$C124)</f>
        <v>200</v>
      </c>
      <c r="F124" s="20"/>
    </row>
    <row r="125" spans="1:6" x14ac:dyDescent="0.35">
      <c r="A125" s="15" t="s">
        <v>19</v>
      </c>
      <c r="B125" s="15" t="s">
        <v>26</v>
      </c>
      <c r="C125" s="15">
        <v>0</v>
      </c>
      <c r="D125" s="16">
        <v>40</v>
      </c>
      <c r="E125" s="16">
        <f>(INVENTARIO!$D125*INVENTARIO!$C125)</f>
        <v>0</v>
      </c>
      <c r="F125" s="17"/>
    </row>
    <row r="126" spans="1:6" s="8" customFormat="1" x14ac:dyDescent="0.35">
      <c r="A126" s="18" t="s">
        <v>15</v>
      </c>
      <c r="B126" s="18" t="s">
        <v>23</v>
      </c>
      <c r="C126" s="18">
        <v>1</v>
      </c>
      <c r="D126" s="19">
        <v>55</v>
      </c>
      <c r="E126" s="19">
        <f>(INVENTARIO!$D126*INVENTARIO!$C126)</f>
        <v>55</v>
      </c>
      <c r="F126" s="21"/>
    </row>
    <row r="127" spans="1:6" x14ac:dyDescent="0.35">
      <c r="A127" s="22" t="s">
        <v>16</v>
      </c>
      <c r="B127" s="22" t="s">
        <v>22</v>
      </c>
      <c r="C127" s="22">
        <v>2</v>
      </c>
      <c r="D127" s="23">
        <v>55</v>
      </c>
      <c r="E127" s="23">
        <f>(INVENTARIO!$D127*INVENTARIO!$C127)</f>
        <v>110</v>
      </c>
      <c r="F127" s="24"/>
    </row>
    <row r="128" spans="1:6" s="8" customFormat="1" x14ac:dyDescent="0.35">
      <c r="A128" s="18" t="s">
        <v>17</v>
      </c>
      <c r="B128" s="18" t="s">
        <v>24</v>
      </c>
      <c r="C128" s="18">
        <v>1</v>
      </c>
      <c r="D128" s="19">
        <v>50</v>
      </c>
      <c r="E128" s="19">
        <f>(INVENTARIO!$D128*INVENTARIO!$C128)</f>
        <v>50</v>
      </c>
      <c r="F128" s="20"/>
    </row>
    <row r="129" spans="1:6" x14ac:dyDescent="0.35">
      <c r="A129" s="22" t="s">
        <v>43</v>
      </c>
      <c r="B129" s="22" t="s">
        <v>394</v>
      </c>
      <c r="C129" s="22">
        <v>1</v>
      </c>
      <c r="D129" s="23">
        <v>35</v>
      </c>
      <c r="E129" s="23">
        <f>(INVENTARIO!$D129*INVENTARIO!$C129)</f>
        <v>35</v>
      </c>
      <c r="F129" s="24"/>
    </row>
    <row r="130" spans="1:6" s="8" customFormat="1" x14ac:dyDescent="0.35">
      <c r="A130" s="12" t="s">
        <v>12</v>
      </c>
      <c r="B130" s="12" t="s">
        <v>345</v>
      </c>
      <c r="C130" s="12">
        <v>3</v>
      </c>
      <c r="D130" s="13">
        <v>40</v>
      </c>
      <c r="E130" s="13">
        <f>(INVENTARIO!$D130*INVENTARIO!$C130)</f>
        <v>120</v>
      </c>
      <c r="F130" s="20"/>
    </row>
    <row r="131" spans="1:6" s="8" customFormat="1" x14ac:dyDescent="0.35">
      <c r="A131" s="12" t="s">
        <v>492</v>
      </c>
      <c r="B131" s="12" t="s">
        <v>493</v>
      </c>
      <c r="C131" s="12">
        <v>2</v>
      </c>
      <c r="D131" s="13">
        <v>120</v>
      </c>
      <c r="E131" s="13">
        <f>(INVENTARIO!$D131*INVENTARIO!$C131)</f>
        <v>240</v>
      </c>
      <c r="F131" s="21"/>
    </row>
    <row r="132" spans="1:6" x14ac:dyDescent="0.35">
      <c r="A132" s="18" t="s">
        <v>197</v>
      </c>
      <c r="B132" s="18" t="s">
        <v>274</v>
      </c>
      <c r="C132" s="18">
        <v>3</v>
      </c>
      <c r="D132" s="19">
        <v>40</v>
      </c>
      <c r="E132" s="19">
        <f>(INVENTARIO!$D132*INVENTARIO!$C132)</f>
        <v>120</v>
      </c>
      <c r="F132" s="20"/>
    </row>
    <row r="133" spans="1:6" x14ac:dyDescent="0.35">
      <c r="A133" s="12" t="s">
        <v>198</v>
      </c>
      <c r="B133" s="12" t="s">
        <v>275</v>
      </c>
      <c r="C133" s="12">
        <v>1</v>
      </c>
      <c r="D133" s="13">
        <v>40</v>
      </c>
      <c r="E133" s="13">
        <f>(INVENTARIO!$D133*INVENTARIO!$C133)</f>
        <v>40</v>
      </c>
      <c r="F133" s="21"/>
    </row>
    <row r="134" spans="1:6" s="8" customFormat="1" x14ac:dyDescent="0.35">
      <c r="A134" s="18" t="s">
        <v>1034</v>
      </c>
      <c r="B134" s="18" t="s">
        <v>1040</v>
      </c>
      <c r="C134" s="18">
        <v>2</v>
      </c>
      <c r="D134" s="19">
        <v>25</v>
      </c>
      <c r="E134" s="19">
        <f>(INVENTARIO!$D134*INVENTARIO!$C134)</f>
        <v>50</v>
      </c>
      <c r="F134" s="20"/>
    </row>
    <row r="135" spans="1:6" s="8" customFormat="1" x14ac:dyDescent="0.35">
      <c r="A135" s="12" t="s">
        <v>231</v>
      </c>
      <c r="B135" s="12" t="s">
        <v>1032</v>
      </c>
      <c r="C135" s="12">
        <v>4</v>
      </c>
      <c r="D135" s="13">
        <v>25</v>
      </c>
      <c r="E135" s="13">
        <f>(INVENTARIO!$D135*INVENTARIO!$C135)</f>
        <v>100</v>
      </c>
      <c r="F135" s="21"/>
    </row>
    <row r="136" spans="1:6" s="8" customFormat="1" x14ac:dyDescent="0.35">
      <c r="A136" s="18" t="s">
        <v>1033</v>
      </c>
      <c r="B136" s="18" t="s">
        <v>1039</v>
      </c>
      <c r="C136" s="18">
        <v>7</v>
      </c>
      <c r="D136" s="19">
        <v>25</v>
      </c>
      <c r="E136" s="19">
        <f>(INVENTARIO!$D136*INVENTARIO!$C136)</f>
        <v>175</v>
      </c>
      <c r="F136" s="20"/>
    </row>
    <row r="137" spans="1:6" x14ac:dyDescent="0.35">
      <c r="A137" s="22" t="s">
        <v>246</v>
      </c>
      <c r="B137" s="22" t="s">
        <v>621</v>
      </c>
      <c r="C137" s="22">
        <v>9</v>
      </c>
      <c r="D137" s="23">
        <v>15</v>
      </c>
      <c r="E137" s="23">
        <f>(INVENTARIO!$D137*INVENTARIO!$C137)</f>
        <v>135</v>
      </c>
      <c r="F137" s="24"/>
    </row>
    <row r="138" spans="1:6" s="8" customFormat="1" x14ac:dyDescent="0.35">
      <c r="A138" s="18" t="s">
        <v>69</v>
      </c>
      <c r="B138" s="18" t="s">
        <v>566</v>
      </c>
      <c r="C138" s="18">
        <v>6</v>
      </c>
      <c r="D138" s="19">
        <v>20</v>
      </c>
      <c r="E138" s="19">
        <f>(INVENTARIO!$D138*INVENTARIO!$C138)</f>
        <v>120</v>
      </c>
      <c r="F138" s="20"/>
    </row>
    <row r="139" spans="1:6" x14ac:dyDescent="0.35">
      <c r="A139" s="22" t="s">
        <v>67</v>
      </c>
      <c r="B139" s="22" t="s">
        <v>68</v>
      </c>
      <c r="C139" s="22">
        <v>1</v>
      </c>
      <c r="D139" s="23">
        <v>15</v>
      </c>
      <c r="E139" s="23">
        <f>(INVENTARIO!$D139*INVENTARIO!$C139)</f>
        <v>15</v>
      </c>
      <c r="F139" s="24"/>
    </row>
    <row r="140" spans="1:6" x14ac:dyDescent="0.35">
      <c r="A140" s="18" t="s">
        <v>66</v>
      </c>
      <c r="B140" s="18" t="s">
        <v>559</v>
      </c>
      <c r="C140" s="18">
        <v>3</v>
      </c>
      <c r="D140" s="19">
        <v>10</v>
      </c>
      <c r="E140" s="19">
        <f>(INVENTARIO!$D140*INVENTARIO!$C140)</f>
        <v>30</v>
      </c>
      <c r="F140" s="20"/>
    </row>
    <row r="141" spans="1:6" s="8" customFormat="1" x14ac:dyDescent="0.35">
      <c r="A141" s="22" t="s">
        <v>65</v>
      </c>
      <c r="B141" s="22" t="s">
        <v>560</v>
      </c>
      <c r="C141" s="22">
        <v>2</v>
      </c>
      <c r="D141" s="23">
        <v>15</v>
      </c>
      <c r="E141" s="23">
        <f>(INVENTARIO!$D141*INVENTARIO!$C141)</f>
        <v>30</v>
      </c>
      <c r="F141" s="24"/>
    </row>
    <row r="142" spans="1:6" x14ac:dyDescent="0.35">
      <c r="A142" s="12" t="s">
        <v>656</v>
      </c>
      <c r="B142" s="12" t="s">
        <v>1008</v>
      </c>
      <c r="C142" s="12">
        <v>22</v>
      </c>
      <c r="D142" s="13">
        <v>10</v>
      </c>
      <c r="E142" s="13">
        <f>(INVENTARIO!$D142*INVENTARIO!$C142)</f>
        <v>220</v>
      </c>
      <c r="F142" s="21"/>
    </row>
    <row r="143" spans="1:6" s="11" customFormat="1" x14ac:dyDescent="0.35">
      <c r="A143" s="12" t="s">
        <v>657</v>
      </c>
      <c r="B143" s="12" t="s">
        <v>659</v>
      </c>
      <c r="C143" s="12">
        <v>2</v>
      </c>
      <c r="D143" s="13">
        <v>10</v>
      </c>
      <c r="E143" s="13">
        <f>(INVENTARIO!$D143*INVENTARIO!$C143)</f>
        <v>20</v>
      </c>
      <c r="F143" s="21"/>
    </row>
    <row r="144" spans="1:6" s="8" customFormat="1" x14ac:dyDescent="0.35">
      <c r="A144" s="12" t="s">
        <v>70</v>
      </c>
      <c r="B144" s="12" t="s">
        <v>908</v>
      </c>
      <c r="C144" s="12">
        <v>4</v>
      </c>
      <c r="D144" s="13">
        <v>16</v>
      </c>
      <c r="E144" s="13">
        <f>(INVENTARIO!$D144*INVENTARIO!$C144)</f>
        <v>64</v>
      </c>
      <c r="F144" s="21"/>
    </row>
    <row r="145" spans="1:6" s="8" customFormat="1" x14ac:dyDescent="0.35">
      <c r="A145" s="12" t="s">
        <v>900</v>
      </c>
      <c r="B145" s="12" t="s">
        <v>901</v>
      </c>
      <c r="C145" s="12">
        <v>17</v>
      </c>
      <c r="D145" s="13">
        <v>13</v>
      </c>
      <c r="E145" s="13">
        <f>(INVENTARIO!$D145*INVENTARIO!$C145)</f>
        <v>221</v>
      </c>
      <c r="F145" s="21"/>
    </row>
    <row r="146" spans="1:6" x14ac:dyDescent="0.35">
      <c r="A146" s="18" t="s">
        <v>658</v>
      </c>
      <c r="B146" s="18" t="s">
        <v>662</v>
      </c>
      <c r="C146" s="18">
        <v>5</v>
      </c>
      <c r="D146" s="19">
        <v>10</v>
      </c>
      <c r="E146" s="19">
        <f>(INVENTARIO!$D146*INVENTARIO!$C146)</f>
        <v>50</v>
      </c>
      <c r="F146" s="20"/>
    </row>
    <row r="147" spans="1:6" x14ac:dyDescent="0.35">
      <c r="A147" s="15" t="s">
        <v>354</v>
      </c>
      <c r="B147" s="15" t="s">
        <v>909</v>
      </c>
      <c r="C147" s="15">
        <v>0</v>
      </c>
      <c r="D147" s="16">
        <v>16</v>
      </c>
      <c r="E147" s="16">
        <f>(INVENTARIO!$D147*INVENTARIO!$C147)</f>
        <v>0</v>
      </c>
      <c r="F147" s="17"/>
    </row>
    <row r="148" spans="1:6" s="8" customFormat="1" x14ac:dyDescent="0.35">
      <c r="A148" s="12" t="s">
        <v>902</v>
      </c>
      <c r="B148" s="12" t="s">
        <v>903</v>
      </c>
      <c r="C148" s="12">
        <v>9</v>
      </c>
      <c r="D148" s="13">
        <v>12</v>
      </c>
      <c r="E148" s="13">
        <f>(INVENTARIO!$D148*INVENTARIO!$C148)</f>
        <v>108</v>
      </c>
      <c r="F148" s="21"/>
    </row>
    <row r="149" spans="1:6" x14ac:dyDescent="0.35">
      <c r="A149" s="22" t="s">
        <v>904</v>
      </c>
      <c r="B149" s="22" t="s">
        <v>905</v>
      </c>
      <c r="C149" s="22">
        <v>8</v>
      </c>
      <c r="D149" s="23">
        <v>12</v>
      </c>
      <c r="E149" s="23">
        <f>(INVENTARIO!$D149*INVENTARIO!$C149)</f>
        <v>96</v>
      </c>
      <c r="F149" s="24"/>
    </row>
    <row r="150" spans="1:6" s="8" customFormat="1" x14ac:dyDescent="0.35">
      <c r="A150" s="15" t="s">
        <v>661</v>
      </c>
      <c r="B150" s="15" t="s">
        <v>660</v>
      </c>
      <c r="C150" s="15">
        <v>0</v>
      </c>
      <c r="D150" s="16">
        <v>10</v>
      </c>
      <c r="E150" s="16">
        <f>(INVENTARIO!$D150*INVENTARIO!$C150)</f>
        <v>0</v>
      </c>
      <c r="F150" s="17"/>
    </row>
    <row r="151" spans="1:6" x14ac:dyDescent="0.35">
      <c r="A151" s="22" t="s">
        <v>1037</v>
      </c>
      <c r="B151" s="22" t="s">
        <v>1043</v>
      </c>
      <c r="C151" s="22">
        <v>5</v>
      </c>
      <c r="D151" s="23">
        <v>13</v>
      </c>
      <c r="E151" s="23">
        <f>(INVENTARIO!$D151*INVENTARIO!$C151)</f>
        <v>65</v>
      </c>
      <c r="F151" s="24"/>
    </row>
    <row r="152" spans="1:6" s="8" customFormat="1" x14ac:dyDescent="0.35">
      <c r="A152" s="18" t="s">
        <v>1035</v>
      </c>
      <c r="B152" s="18" t="s">
        <v>1041</v>
      </c>
      <c r="C152" s="18">
        <v>6</v>
      </c>
      <c r="D152" s="19">
        <v>13</v>
      </c>
      <c r="E152" s="19">
        <f>(INVENTARIO!$D152*INVENTARIO!$C152)</f>
        <v>78</v>
      </c>
      <c r="F152" s="20"/>
    </row>
    <row r="153" spans="1:6" x14ac:dyDescent="0.35">
      <c r="A153" s="22" t="s">
        <v>1036</v>
      </c>
      <c r="B153" s="22" t="s">
        <v>1042</v>
      </c>
      <c r="C153" s="22">
        <v>8</v>
      </c>
      <c r="D153" s="23">
        <v>13</v>
      </c>
      <c r="E153" s="23">
        <f>(INVENTARIO!$D153*INVENTARIO!$C153)</f>
        <v>104</v>
      </c>
      <c r="F153" s="24"/>
    </row>
    <row r="154" spans="1:6" s="8" customFormat="1" x14ac:dyDescent="0.35">
      <c r="A154" s="18" t="s">
        <v>1009</v>
      </c>
      <c r="B154" s="18" t="s">
        <v>1013</v>
      </c>
      <c r="C154" s="18">
        <v>10</v>
      </c>
      <c r="D154" s="19">
        <v>15</v>
      </c>
      <c r="E154" s="19">
        <f>(INVENTARIO!$D154*INVENTARIO!$C154)</f>
        <v>150</v>
      </c>
      <c r="F154" s="20"/>
    </row>
    <row r="155" spans="1:6" s="8" customFormat="1" x14ac:dyDescent="0.35">
      <c r="A155" s="22" t="s">
        <v>1010</v>
      </c>
      <c r="B155" s="22" t="s">
        <v>1014</v>
      </c>
      <c r="C155" s="22">
        <v>10</v>
      </c>
      <c r="D155" s="23">
        <v>15</v>
      </c>
      <c r="E155" s="23">
        <f>(INVENTARIO!$D155*INVENTARIO!$C155)</f>
        <v>150</v>
      </c>
      <c r="F155" s="24"/>
    </row>
    <row r="156" spans="1:6" s="8" customFormat="1" x14ac:dyDescent="0.35">
      <c r="A156" s="18" t="s">
        <v>71</v>
      </c>
      <c r="B156" s="18" t="s">
        <v>424</v>
      </c>
      <c r="C156" s="18">
        <v>6</v>
      </c>
      <c r="D156" s="19">
        <v>12</v>
      </c>
      <c r="E156" s="19">
        <f>(INVENTARIO!$D156*INVENTARIO!$C156)</f>
        <v>72</v>
      </c>
      <c r="F156" s="20"/>
    </row>
    <row r="157" spans="1:6" s="8" customFormat="1" x14ac:dyDescent="0.35">
      <c r="A157" s="12" t="s">
        <v>72</v>
      </c>
      <c r="B157" s="12" t="s">
        <v>425</v>
      </c>
      <c r="C157" s="12">
        <v>5</v>
      </c>
      <c r="D157" s="13">
        <v>10</v>
      </c>
      <c r="E157" s="13">
        <f>(INVENTARIO!$D157*INVENTARIO!$C157)</f>
        <v>50</v>
      </c>
      <c r="F157" s="21"/>
    </row>
    <row r="158" spans="1:6" x14ac:dyDescent="0.35">
      <c r="A158" s="18" t="s">
        <v>73</v>
      </c>
      <c r="B158" s="18" t="s">
        <v>426</v>
      </c>
      <c r="C158" s="18">
        <v>4</v>
      </c>
      <c r="D158" s="19">
        <v>10</v>
      </c>
      <c r="E158" s="19">
        <f>(INVENTARIO!$D158*INVENTARIO!$C158)</f>
        <v>40</v>
      </c>
      <c r="F158" s="20"/>
    </row>
    <row r="159" spans="1:6" s="11" customFormat="1" x14ac:dyDescent="0.35">
      <c r="A159" s="15" t="s">
        <v>348</v>
      </c>
      <c r="B159" s="15" t="s">
        <v>605</v>
      </c>
      <c r="C159" s="15">
        <v>0</v>
      </c>
      <c r="D159" s="16">
        <v>20</v>
      </c>
      <c r="E159" s="16">
        <f>(INVENTARIO!$D159*INVENTARIO!$C159)</f>
        <v>0</v>
      </c>
      <c r="F159" s="17"/>
    </row>
    <row r="160" spans="1:6" x14ac:dyDescent="0.35">
      <c r="A160" s="15" t="s">
        <v>470</v>
      </c>
      <c r="B160" s="34" t="s">
        <v>471</v>
      </c>
      <c r="C160" s="15">
        <v>0</v>
      </c>
      <c r="D160" s="16">
        <v>25</v>
      </c>
      <c r="E160" s="16">
        <f>(INVENTARIO!$D160*INVENTARIO!$C160)</f>
        <v>0</v>
      </c>
      <c r="F160" s="17"/>
    </row>
    <row r="161" spans="1:6" s="8" customFormat="1" x14ac:dyDescent="0.35">
      <c r="A161" s="22" t="s">
        <v>333</v>
      </c>
      <c r="B161" s="22" t="s">
        <v>719</v>
      </c>
      <c r="C161" s="22">
        <v>7</v>
      </c>
      <c r="D161" s="23">
        <v>15</v>
      </c>
      <c r="E161" s="23">
        <f>(INVENTARIO!$D161*INVENTARIO!$C161)</f>
        <v>105</v>
      </c>
      <c r="F161" s="24"/>
    </row>
    <row r="162" spans="1:6" s="8" customFormat="1" x14ac:dyDescent="0.35">
      <c r="A162" s="15" t="s">
        <v>468</v>
      </c>
      <c r="B162" s="15" t="s">
        <v>702</v>
      </c>
      <c r="C162" s="15">
        <v>0</v>
      </c>
      <c r="D162" s="16">
        <v>30</v>
      </c>
      <c r="E162" s="16">
        <f>(INVENTARIO!$D162*INVENTARIO!$C162)</f>
        <v>0</v>
      </c>
      <c r="F162" s="17"/>
    </row>
    <row r="163" spans="1:6" s="8" customFormat="1" x14ac:dyDescent="0.35">
      <c r="A163" s="22" t="s">
        <v>387</v>
      </c>
      <c r="B163" s="22" t="s">
        <v>388</v>
      </c>
      <c r="C163" s="22">
        <v>3</v>
      </c>
      <c r="D163" s="23">
        <v>25</v>
      </c>
      <c r="E163" s="23">
        <f>(INVENTARIO!$D163*INVENTARIO!$C163)</f>
        <v>75</v>
      </c>
      <c r="F163" s="24"/>
    </row>
    <row r="164" spans="1:6" s="8" customFormat="1" x14ac:dyDescent="0.35">
      <c r="A164" s="18" t="s">
        <v>389</v>
      </c>
      <c r="B164" s="18" t="s">
        <v>776</v>
      </c>
      <c r="C164" s="18">
        <v>3</v>
      </c>
      <c r="D164" s="19">
        <v>35</v>
      </c>
      <c r="E164" s="19">
        <f>(INVENTARIO!$D164*INVENTARIO!$C164)</f>
        <v>105</v>
      </c>
      <c r="F164" s="20"/>
    </row>
    <row r="165" spans="1:6" x14ac:dyDescent="0.35">
      <c r="A165" s="22" t="s">
        <v>817</v>
      </c>
      <c r="B165" s="22" t="s">
        <v>818</v>
      </c>
      <c r="C165" s="22">
        <v>3</v>
      </c>
      <c r="D165" s="23">
        <v>30</v>
      </c>
      <c r="E165" s="23">
        <f>(INVENTARIO!$D165*INVENTARIO!$C165)</f>
        <v>90</v>
      </c>
      <c r="F165" s="24"/>
    </row>
    <row r="166" spans="1:6" x14ac:dyDescent="0.35">
      <c r="A166" s="18" t="s">
        <v>165</v>
      </c>
      <c r="B166" s="18" t="s">
        <v>255</v>
      </c>
      <c r="C166" s="18">
        <v>6</v>
      </c>
      <c r="D166" s="19">
        <v>15</v>
      </c>
      <c r="E166" s="19">
        <f>(INVENTARIO!$D166*INVENTARIO!$C166)</f>
        <v>90</v>
      </c>
      <c r="F166" s="20"/>
    </row>
    <row r="167" spans="1:6" x14ac:dyDescent="0.35">
      <c r="A167" s="12" t="s">
        <v>164</v>
      </c>
      <c r="B167" s="12" t="s">
        <v>254</v>
      </c>
      <c r="C167" s="12">
        <v>35</v>
      </c>
      <c r="D167" s="13">
        <v>20</v>
      </c>
      <c r="E167" s="13">
        <f>(INVENTARIO!$D167*INVENTARIO!$C167)</f>
        <v>700</v>
      </c>
      <c r="F167" s="21"/>
    </row>
    <row r="168" spans="1:6" s="8" customFormat="1" x14ac:dyDescent="0.35">
      <c r="A168" s="18" t="s">
        <v>335</v>
      </c>
      <c r="B168" s="18" t="s">
        <v>336</v>
      </c>
      <c r="C168" s="18">
        <v>12</v>
      </c>
      <c r="D168" s="19">
        <v>30</v>
      </c>
      <c r="E168" s="19">
        <f>(INVENTARIO!$D168*INVENTARIO!$C168)</f>
        <v>360</v>
      </c>
      <c r="F168" s="20"/>
    </row>
    <row r="169" spans="1:6" x14ac:dyDescent="0.35">
      <c r="A169" s="22" t="s">
        <v>535</v>
      </c>
      <c r="B169" s="22" t="s">
        <v>536</v>
      </c>
      <c r="C169" s="22">
        <v>10</v>
      </c>
      <c r="D169" s="23">
        <v>6</v>
      </c>
      <c r="E169" s="23">
        <f>(INVENTARIO!$D169*INVENTARIO!$C169)</f>
        <v>60</v>
      </c>
      <c r="F169" s="24"/>
    </row>
    <row r="170" spans="1:6" x14ac:dyDescent="0.35">
      <c r="A170" s="18" t="s">
        <v>315</v>
      </c>
      <c r="B170" s="18" t="s">
        <v>322</v>
      </c>
      <c r="C170" s="18">
        <v>11</v>
      </c>
      <c r="D170" s="19">
        <v>7</v>
      </c>
      <c r="E170" s="19">
        <f>(INVENTARIO!$D170*INVENTARIO!$C170)</f>
        <v>77</v>
      </c>
      <c r="F170" s="20"/>
    </row>
    <row r="171" spans="1:6" x14ac:dyDescent="0.35">
      <c r="A171" s="12" t="s">
        <v>316</v>
      </c>
      <c r="B171" s="12" t="s">
        <v>323</v>
      </c>
      <c r="C171" s="12">
        <v>9</v>
      </c>
      <c r="D171" s="13">
        <v>8</v>
      </c>
      <c r="E171" s="13">
        <f>(INVENTARIO!$D171*INVENTARIO!$C171)</f>
        <v>72</v>
      </c>
      <c r="F171" s="21"/>
    </row>
    <row r="172" spans="1:6" s="8" customFormat="1" x14ac:dyDescent="0.35">
      <c r="A172" s="18" t="s">
        <v>317</v>
      </c>
      <c r="B172" s="18" t="s">
        <v>1000</v>
      </c>
      <c r="C172" s="18">
        <v>9</v>
      </c>
      <c r="D172" s="19">
        <v>8</v>
      </c>
      <c r="E172" s="19">
        <f>(INVENTARIO!$D172*INVENTARIO!$C172)</f>
        <v>72</v>
      </c>
      <c r="F172" s="20"/>
    </row>
    <row r="173" spans="1:6" x14ac:dyDescent="0.35">
      <c r="A173" s="12" t="s">
        <v>787</v>
      </c>
      <c r="B173" s="12" t="s">
        <v>943</v>
      </c>
      <c r="C173" s="12">
        <v>1</v>
      </c>
      <c r="D173" s="13">
        <v>50</v>
      </c>
      <c r="E173" s="13">
        <f>(INVENTARIO!$D173*INVENTARIO!$C173)</f>
        <v>50</v>
      </c>
      <c r="F173" s="21"/>
    </row>
    <row r="174" spans="1:6" x14ac:dyDescent="0.35">
      <c r="A174" s="18" t="s">
        <v>961</v>
      </c>
      <c r="B174" s="18" t="s">
        <v>962</v>
      </c>
      <c r="C174" s="18">
        <v>2</v>
      </c>
      <c r="D174" s="19">
        <v>35</v>
      </c>
      <c r="E174" s="19">
        <f>(INVENTARIO!$D174*INVENTARIO!$C174)</f>
        <v>70</v>
      </c>
      <c r="F174" s="20"/>
    </row>
    <row r="175" spans="1:6" x14ac:dyDescent="0.35">
      <c r="A175" s="12" t="s">
        <v>203</v>
      </c>
      <c r="B175" s="12" t="s">
        <v>944</v>
      </c>
      <c r="C175" s="12">
        <v>4</v>
      </c>
      <c r="D175" s="13">
        <v>35</v>
      </c>
      <c r="E175" s="13">
        <f>(INVENTARIO!$D175*INVENTARIO!$C175)</f>
        <v>140</v>
      </c>
      <c r="F175" s="21"/>
    </row>
    <row r="176" spans="1:6" s="11" customFormat="1" x14ac:dyDescent="0.35">
      <c r="A176" s="18" t="s">
        <v>813</v>
      </c>
      <c r="B176" s="18" t="s">
        <v>814</v>
      </c>
      <c r="C176" s="18">
        <v>2</v>
      </c>
      <c r="D176" s="19">
        <v>60</v>
      </c>
      <c r="E176" s="19">
        <f>(INVENTARIO!$D176*INVENTARIO!$C176)</f>
        <v>120</v>
      </c>
      <c r="F176" s="20"/>
    </row>
    <row r="177" spans="1:6" x14ac:dyDescent="0.35">
      <c r="A177" s="12" t="s">
        <v>161</v>
      </c>
      <c r="B177" s="12" t="s">
        <v>382</v>
      </c>
      <c r="C177" s="12">
        <v>5</v>
      </c>
      <c r="D177" s="13">
        <v>80</v>
      </c>
      <c r="E177" s="13">
        <f>(INVENTARIO!$D177*INVENTARIO!$C177)</f>
        <v>400</v>
      </c>
      <c r="F177" s="21"/>
    </row>
    <row r="178" spans="1:6" x14ac:dyDescent="0.35">
      <c r="A178" s="12" t="s">
        <v>160</v>
      </c>
      <c r="B178" s="12" t="s">
        <v>253</v>
      </c>
      <c r="C178" s="12">
        <v>2</v>
      </c>
      <c r="D178" s="13">
        <v>80</v>
      </c>
      <c r="E178" s="13">
        <f>(INVENTARIO!$D178*INVENTARIO!$C178)</f>
        <v>160</v>
      </c>
      <c r="F178" s="21"/>
    </row>
    <row r="179" spans="1:6" x14ac:dyDescent="0.35">
      <c r="A179" s="22" t="s">
        <v>500</v>
      </c>
      <c r="B179" s="22" t="s">
        <v>499</v>
      </c>
      <c r="C179" s="22">
        <v>1</v>
      </c>
      <c r="D179" s="23">
        <v>45</v>
      </c>
      <c r="E179" s="23">
        <f>(INVENTARIO!$D179*INVENTARIO!$C179)</f>
        <v>45</v>
      </c>
      <c r="F179" s="24"/>
    </row>
    <row r="180" spans="1:6" x14ac:dyDescent="0.35">
      <c r="A180" s="18" t="s">
        <v>325</v>
      </c>
      <c r="B180" s="18" t="s">
        <v>517</v>
      </c>
      <c r="C180" s="18">
        <v>5</v>
      </c>
      <c r="D180" s="19">
        <v>50</v>
      </c>
      <c r="E180" s="19">
        <f>(INVENTARIO!$D180*INVENTARIO!$C180)</f>
        <v>250</v>
      </c>
      <c r="F180" s="20"/>
    </row>
    <row r="181" spans="1:6" x14ac:dyDescent="0.35">
      <c r="A181" s="22" t="s">
        <v>750</v>
      </c>
      <c r="B181" s="22" t="s">
        <v>752</v>
      </c>
      <c r="C181" s="22">
        <v>3</v>
      </c>
      <c r="D181" s="23">
        <v>45</v>
      </c>
      <c r="E181" s="23">
        <f>(INVENTARIO!$D181*INVENTARIO!$C181)</f>
        <v>135</v>
      </c>
      <c r="F181" s="24"/>
    </row>
    <row r="182" spans="1:6" x14ac:dyDescent="0.35">
      <c r="A182" s="12" t="s">
        <v>663</v>
      </c>
      <c r="B182" s="12" t="s">
        <v>910</v>
      </c>
      <c r="C182" s="12">
        <v>1</v>
      </c>
      <c r="D182" s="13">
        <v>85</v>
      </c>
      <c r="E182" s="13">
        <f>(INVENTARIO!$D182*INVENTARIO!$C182)</f>
        <v>85</v>
      </c>
      <c r="F182" s="21"/>
    </row>
    <row r="183" spans="1:6" x14ac:dyDescent="0.35">
      <c r="A183" s="22" t="s">
        <v>37</v>
      </c>
      <c r="B183" s="22" t="s">
        <v>38</v>
      </c>
      <c r="C183" s="22">
        <v>1</v>
      </c>
      <c r="D183" s="23">
        <v>55</v>
      </c>
      <c r="E183" s="23">
        <f>(INVENTARIO!$D183*INVENTARIO!$C183)</f>
        <v>55</v>
      </c>
      <c r="F183" s="24"/>
    </row>
    <row r="184" spans="1:6" s="8" customFormat="1" x14ac:dyDescent="0.35">
      <c r="A184" s="18" t="s">
        <v>36</v>
      </c>
      <c r="B184" s="18" t="s">
        <v>1025</v>
      </c>
      <c r="C184" s="18">
        <v>6</v>
      </c>
      <c r="D184" s="19">
        <v>65</v>
      </c>
      <c r="E184" s="19">
        <f>(INVENTARIO!$D184*INVENTARIO!$C184)</f>
        <v>390</v>
      </c>
      <c r="F184" s="20"/>
    </row>
    <row r="185" spans="1:6" x14ac:dyDescent="0.35">
      <c r="A185" s="15" t="s">
        <v>35</v>
      </c>
      <c r="B185" s="15" t="s">
        <v>549</v>
      </c>
      <c r="C185" s="15">
        <v>0</v>
      </c>
      <c r="D185" s="16">
        <v>110</v>
      </c>
      <c r="E185" s="16">
        <f>(INVENTARIO!$D185*INVENTARIO!$C185)</f>
        <v>0</v>
      </c>
      <c r="F185" s="17"/>
    </row>
    <row r="186" spans="1:6" s="8" customFormat="1" x14ac:dyDescent="0.35">
      <c r="A186" s="12" t="s">
        <v>34</v>
      </c>
      <c r="B186" s="12" t="s">
        <v>629</v>
      </c>
      <c r="C186" s="12">
        <v>4</v>
      </c>
      <c r="D186" s="13">
        <v>75</v>
      </c>
      <c r="E186" s="13">
        <f>(INVENTARIO!$D186*INVENTARIO!$C186)</f>
        <v>300</v>
      </c>
      <c r="F186" s="21"/>
    </row>
    <row r="187" spans="1:6" s="10" customFormat="1" x14ac:dyDescent="0.35">
      <c r="A187" s="22" t="s">
        <v>39</v>
      </c>
      <c r="B187" s="22" t="s">
        <v>41</v>
      </c>
      <c r="C187" s="22">
        <v>1</v>
      </c>
      <c r="D187" s="23">
        <v>60</v>
      </c>
      <c r="E187" s="23">
        <f>(INVENTARIO!$D187*INVENTARIO!$C187)</f>
        <v>60</v>
      </c>
      <c r="F187" s="24"/>
    </row>
    <row r="188" spans="1:6" x14ac:dyDescent="0.35">
      <c r="A188" s="18" t="s">
        <v>40</v>
      </c>
      <c r="B188" s="18" t="s">
        <v>763</v>
      </c>
      <c r="C188" s="18">
        <v>1</v>
      </c>
      <c r="D188" s="19">
        <v>45</v>
      </c>
      <c r="E188" s="19">
        <f>(INVENTARIO!$D188*INVENTARIO!$C188)</f>
        <v>45</v>
      </c>
      <c r="F188" s="20"/>
    </row>
    <row r="189" spans="1:6" s="8" customFormat="1" x14ac:dyDescent="0.35">
      <c r="A189" s="22" t="s">
        <v>713</v>
      </c>
      <c r="B189" s="22" t="s">
        <v>714</v>
      </c>
      <c r="C189" s="22">
        <v>2</v>
      </c>
      <c r="D189" s="23">
        <v>75</v>
      </c>
      <c r="E189" s="23">
        <f>(INVENTARIO!$D189*INVENTARIO!$C189)</f>
        <v>150</v>
      </c>
      <c r="F189" s="24"/>
    </row>
    <row r="190" spans="1:6" s="8" customFormat="1" x14ac:dyDescent="0.35">
      <c r="A190" s="18" t="s">
        <v>716</v>
      </c>
      <c r="B190" s="18" t="s">
        <v>715</v>
      </c>
      <c r="C190" s="18">
        <v>2</v>
      </c>
      <c r="D190" s="19">
        <v>65</v>
      </c>
      <c r="E190" s="19">
        <f>(INVENTARIO!$D190*INVENTARIO!$C190)</f>
        <v>130</v>
      </c>
      <c r="F190" s="20"/>
    </row>
    <row r="191" spans="1:6" s="8" customFormat="1" x14ac:dyDescent="0.35">
      <c r="A191" s="12" t="s">
        <v>95</v>
      </c>
      <c r="B191" s="12" t="s">
        <v>800</v>
      </c>
      <c r="C191" s="12">
        <v>1</v>
      </c>
      <c r="D191" s="13">
        <v>60</v>
      </c>
      <c r="E191" s="13">
        <f>(INVENTARIO!$D191*INVENTARIO!$C191)</f>
        <v>60</v>
      </c>
      <c r="F191" s="21"/>
    </row>
    <row r="192" spans="1:6" s="8" customFormat="1" x14ac:dyDescent="0.35">
      <c r="A192" s="18" t="s">
        <v>591</v>
      </c>
      <c r="B192" s="18" t="s">
        <v>592</v>
      </c>
      <c r="C192" s="18">
        <v>3</v>
      </c>
      <c r="D192" s="19">
        <v>15</v>
      </c>
      <c r="E192" s="19">
        <f>(INVENTARIO!$D192*INVENTARIO!$C192)</f>
        <v>45</v>
      </c>
      <c r="F192" s="20"/>
    </row>
    <row r="193" spans="1:6" s="8" customFormat="1" x14ac:dyDescent="0.35">
      <c r="A193" s="22" t="s">
        <v>815</v>
      </c>
      <c r="B193" s="22" t="s">
        <v>816</v>
      </c>
      <c r="C193" s="22">
        <v>4</v>
      </c>
      <c r="D193" s="23">
        <v>10</v>
      </c>
      <c r="E193" s="23">
        <f>(INVENTARIO!$D193*INVENTARIO!$C193)</f>
        <v>40</v>
      </c>
      <c r="F193" s="24"/>
    </row>
    <row r="194" spans="1:6" s="8" customFormat="1" x14ac:dyDescent="0.35">
      <c r="A194" s="12" t="s">
        <v>331</v>
      </c>
      <c r="B194" s="12" t="s">
        <v>332</v>
      </c>
      <c r="C194" s="12">
        <v>14</v>
      </c>
      <c r="D194" s="13">
        <v>10</v>
      </c>
      <c r="E194" s="13">
        <f>(INVENTARIO!$D194*INVENTARIO!$C194)</f>
        <v>140</v>
      </c>
      <c r="F194" s="21"/>
    </row>
    <row r="195" spans="1:6" x14ac:dyDescent="0.35">
      <c r="A195" s="15" t="s">
        <v>326</v>
      </c>
      <c r="B195" s="15" t="s">
        <v>712</v>
      </c>
      <c r="C195" s="15">
        <v>0</v>
      </c>
      <c r="D195" s="16">
        <v>70</v>
      </c>
      <c r="E195" s="16">
        <f>(INVENTARIO!$D195*INVENTARIO!$C195)</f>
        <v>0</v>
      </c>
      <c r="F195" s="17"/>
    </row>
    <row r="196" spans="1:6" x14ac:dyDescent="0.35">
      <c r="A196" s="18" t="s">
        <v>1053</v>
      </c>
      <c r="B196" s="18" t="s">
        <v>1054</v>
      </c>
      <c r="C196" s="18">
        <v>2</v>
      </c>
      <c r="D196" s="19">
        <v>55</v>
      </c>
      <c r="E196" s="19">
        <f>(INVENTARIO!$D196*INVENTARIO!$C196)</f>
        <v>110</v>
      </c>
      <c r="F196" s="20"/>
    </row>
    <row r="197" spans="1:6" s="8" customFormat="1" x14ac:dyDescent="0.35">
      <c r="A197" s="12" t="s">
        <v>768</v>
      </c>
      <c r="B197" s="12" t="s">
        <v>769</v>
      </c>
      <c r="C197" s="12">
        <v>3</v>
      </c>
      <c r="D197" s="13">
        <v>15</v>
      </c>
      <c r="E197" s="13">
        <f>(INVENTARIO!$D197*INVENTARIO!$C197)</f>
        <v>45</v>
      </c>
      <c r="F197" s="21"/>
    </row>
    <row r="198" spans="1:6" x14ac:dyDescent="0.35">
      <c r="A198" s="12" t="s">
        <v>448</v>
      </c>
      <c r="B198" s="12" t="s">
        <v>449</v>
      </c>
      <c r="C198" s="12">
        <v>5</v>
      </c>
      <c r="D198" s="13">
        <v>20</v>
      </c>
      <c r="E198" s="13">
        <f>(INVENTARIO!$D198*INVENTARIO!$C198)</f>
        <v>100</v>
      </c>
      <c r="F198" s="21"/>
    </row>
    <row r="199" spans="1:6" x14ac:dyDescent="0.35">
      <c r="A199" s="22" t="s">
        <v>444</v>
      </c>
      <c r="B199" s="22" t="s">
        <v>445</v>
      </c>
      <c r="C199" s="22">
        <v>3</v>
      </c>
      <c r="D199" s="23">
        <v>12</v>
      </c>
      <c r="E199" s="23">
        <f>(INVENTARIO!$D199*INVENTARIO!$C199)</f>
        <v>36</v>
      </c>
      <c r="F199" s="24"/>
    </row>
    <row r="200" spans="1:6" s="10" customFormat="1" x14ac:dyDescent="0.35">
      <c r="A200" s="18" t="s">
        <v>777</v>
      </c>
      <c r="B200" s="18" t="s">
        <v>778</v>
      </c>
      <c r="C200" s="18">
        <v>1</v>
      </c>
      <c r="D200" s="19">
        <v>120</v>
      </c>
      <c r="E200" s="19">
        <f>(INVENTARIO!$D200*INVENTARIO!$C200)</f>
        <v>120</v>
      </c>
      <c r="F200" s="20"/>
    </row>
    <row r="201" spans="1:6" s="8" customFormat="1" x14ac:dyDescent="0.35">
      <c r="A201" s="22" t="s">
        <v>567</v>
      </c>
      <c r="B201" s="22" t="s">
        <v>812</v>
      </c>
      <c r="C201" s="22">
        <v>28</v>
      </c>
      <c r="D201" s="23">
        <v>3.5</v>
      </c>
      <c r="E201" s="23">
        <f>(INVENTARIO!$D201*INVENTARIO!$C201)</f>
        <v>98</v>
      </c>
      <c r="F201" s="24"/>
    </row>
    <row r="202" spans="1:6" x14ac:dyDescent="0.35">
      <c r="A202" s="18" t="s">
        <v>367</v>
      </c>
      <c r="B202" s="18" t="s">
        <v>377</v>
      </c>
      <c r="C202" s="18">
        <v>7</v>
      </c>
      <c r="D202" s="19">
        <v>10</v>
      </c>
      <c r="E202" s="19">
        <f>(INVENTARIO!$D202*INVENTARIO!$C202)</f>
        <v>70</v>
      </c>
      <c r="F202" s="20"/>
    </row>
    <row r="203" spans="1:6" x14ac:dyDescent="0.35">
      <c r="A203" s="22" t="s">
        <v>368</v>
      </c>
      <c r="B203" s="22" t="s">
        <v>378</v>
      </c>
      <c r="C203" s="22">
        <v>10</v>
      </c>
      <c r="D203" s="23">
        <v>10</v>
      </c>
      <c r="E203" s="23">
        <f>(INVENTARIO!$D203*INVENTARIO!$C203)</f>
        <v>100</v>
      </c>
      <c r="F203" s="24"/>
    </row>
    <row r="204" spans="1:6" s="11" customFormat="1" x14ac:dyDescent="0.35">
      <c r="A204" s="18" t="s">
        <v>169</v>
      </c>
      <c r="B204" s="18" t="s">
        <v>258</v>
      </c>
      <c r="C204" s="18">
        <v>10</v>
      </c>
      <c r="D204" s="19">
        <v>12</v>
      </c>
      <c r="E204" s="19">
        <f>(INVENTARIO!$D204*INVENTARIO!$C204)</f>
        <v>120</v>
      </c>
      <c r="F204" s="20"/>
    </row>
    <row r="205" spans="1:6" x14ac:dyDescent="0.35">
      <c r="A205" s="22" t="s">
        <v>170</v>
      </c>
      <c r="B205" s="22" t="s">
        <v>259</v>
      </c>
      <c r="C205" s="22">
        <v>10</v>
      </c>
      <c r="D205" s="23">
        <v>12</v>
      </c>
      <c r="E205" s="23">
        <f>(INVENTARIO!$D205*INVENTARIO!$C205)</f>
        <v>120</v>
      </c>
      <c r="F205" s="24"/>
    </row>
    <row r="206" spans="1:6" x14ac:dyDescent="0.35">
      <c r="A206" s="12" t="s">
        <v>168</v>
      </c>
      <c r="B206" s="12" t="s">
        <v>853</v>
      </c>
      <c r="C206" s="12">
        <v>10</v>
      </c>
      <c r="D206" s="13">
        <v>15</v>
      </c>
      <c r="E206" s="13">
        <f>(INVENTARIO!$D206*INVENTARIO!$C206)</f>
        <v>150</v>
      </c>
      <c r="F206" s="21"/>
    </row>
    <row r="207" spans="1:6" x14ac:dyDescent="0.35">
      <c r="A207" s="12" t="s">
        <v>166</v>
      </c>
      <c r="B207" s="12" t="s">
        <v>256</v>
      </c>
      <c r="C207" s="12">
        <v>8</v>
      </c>
      <c r="D207" s="13">
        <v>15</v>
      </c>
      <c r="E207" s="13">
        <f>(INVENTARIO!$D207*INVENTARIO!$C207)</f>
        <v>120</v>
      </c>
      <c r="F207" s="21"/>
    </row>
    <row r="208" spans="1:6" s="8" customFormat="1" x14ac:dyDescent="0.35">
      <c r="A208" s="15" t="s">
        <v>167</v>
      </c>
      <c r="B208" s="15" t="s">
        <v>257</v>
      </c>
      <c r="C208" s="15">
        <v>0</v>
      </c>
      <c r="D208" s="16">
        <v>10</v>
      </c>
      <c r="E208" s="16">
        <f>(INVENTARIO!$D208*INVENTARIO!$C208)</f>
        <v>0</v>
      </c>
      <c r="F208" s="17"/>
    </row>
    <row r="209" spans="1:6" x14ac:dyDescent="0.35">
      <c r="A209" s="22" t="s">
        <v>365</v>
      </c>
      <c r="B209" s="22" t="s">
        <v>375</v>
      </c>
      <c r="C209" s="22">
        <v>5</v>
      </c>
      <c r="D209" s="23">
        <v>12</v>
      </c>
      <c r="E209" s="23">
        <f>(INVENTARIO!$D209*INVENTARIO!$C209)</f>
        <v>60</v>
      </c>
      <c r="F209" s="24"/>
    </row>
    <row r="210" spans="1:6" s="8" customFormat="1" x14ac:dyDescent="0.35">
      <c r="A210" s="12" t="s">
        <v>366</v>
      </c>
      <c r="B210" s="12" t="s">
        <v>376</v>
      </c>
      <c r="C210" s="12">
        <v>9</v>
      </c>
      <c r="D210" s="13">
        <v>12</v>
      </c>
      <c r="E210" s="13">
        <f>(INVENTARIO!$D210*INVENTARIO!$C210)</f>
        <v>108</v>
      </c>
      <c r="F210" s="21"/>
    </row>
    <row r="211" spans="1:6" x14ac:dyDescent="0.35">
      <c r="A211" s="15" t="s">
        <v>475</v>
      </c>
      <c r="B211" s="15" t="s">
        <v>476</v>
      </c>
      <c r="C211" s="15">
        <v>0</v>
      </c>
      <c r="D211" s="16">
        <v>140</v>
      </c>
      <c r="E211" s="16">
        <f>(INVENTARIO!$D211*INVENTARIO!$C211)</f>
        <v>0</v>
      </c>
      <c r="F211" s="17"/>
    </row>
    <row r="212" spans="1:6" x14ac:dyDescent="0.35">
      <c r="A212" s="12" t="s">
        <v>201</v>
      </c>
      <c r="B212" s="12" t="s">
        <v>278</v>
      </c>
      <c r="C212" s="12">
        <v>4</v>
      </c>
      <c r="D212" s="13">
        <v>30</v>
      </c>
      <c r="E212" s="13">
        <f>(INVENTARIO!$D212*INVENTARIO!$C212)</f>
        <v>120</v>
      </c>
      <c r="F212" s="21"/>
    </row>
    <row r="213" spans="1:6" s="8" customFormat="1" x14ac:dyDescent="0.35">
      <c r="A213" s="12" t="s">
        <v>657</v>
      </c>
      <c r="B213" s="12" t="s">
        <v>675</v>
      </c>
      <c r="C213" s="12">
        <v>1</v>
      </c>
      <c r="D213" s="13">
        <v>35</v>
      </c>
      <c r="E213" s="13">
        <f>(INVENTARIO!$D213*INVENTARIO!$C213)</f>
        <v>35</v>
      </c>
      <c r="F213" s="21"/>
    </row>
    <row r="214" spans="1:6" s="8" customFormat="1" x14ac:dyDescent="0.35">
      <c r="A214" s="18" t="s">
        <v>461</v>
      </c>
      <c r="B214" s="18" t="s">
        <v>664</v>
      </c>
      <c r="C214" s="18">
        <v>0</v>
      </c>
      <c r="D214" s="19">
        <v>30</v>
      </c>
      <c r="E214" s="19">
        <f>(INVENTARIO!$D214*INVENTARIO!$C214)</f>
        <v>0</v>
      </c>
      <c r="F214" s="20"/>
    </row>
    <row r="215" spans="1:6" s="8" customFormat="1" x14ac:dyDescent="0.35">
      <c r="A215" s="22" t="s">
        <v>788</v>
      </c>
      <c r="B215" s="22" t="s">
        <v>789</v>
      </c>
      <c r="C215" s="22">
        <v>1</v>
      </c>
      <c r="D215" s="23">
        <v>100</v>
      </c>
      <c r="E215" s="23">
        <f>(INVENTARIO!$D215*INVENTARIO!$C215)</f>
        <v>100</v>
      </c>
      <c r="F215" s="24"/>
    </row>
    <row r="216" spans="1:6" x14ac:dyDescent="0.35">
      <c r="A216" s="12" t="s">
        <v>542</v>
      </c>
      <c r="B216" s="12" t="s">
        <v>543</v>
      </c>
      <c r="C216" s="12">
        <v>3</v>
      </c>
      <c r="D216" s="13">
        <v>130</v>
      </c>
      <c r="E216" s="13">
        <f>(INVENTARIO!$D216*INVENTARIO!$C216)</f>
        <v>390</v>
      </c>
      <c r="F216" s="21"/>
    </row>
    <row r="217" spans="1:6" x14ac:dyDescent="0.35">
      <c r="A217" s="15" t="s">
        <v>81</v>
      </c>
      <c r="B217" s="15" t="s">
        <v>613</v>
      </c>
      <c r="C217" s="15">
        <v>0</v>
      </c>
      <c r="D217" s="16">
        <v>110</v>
      </c>
      <c r="E217" s="16">
        <f>(INVENTARIO!$D217*INVENTARIO!$C217)</f>
        <v>0</v>
      </c>
      <c r="F217" s="17"/>
    </row>
    <row r="218" spans="1:6" x14ac:dyDescent="0.35">
      <c r="A218" s="18" t="s">
        <v>537</v>
      </c>
      <c r="B218" s="18" t="s">
        <v>538</v>
      </c>
      <c r="C218" s="18">
        <v>4</v>
      </c>
      <c r="D218" s="19">
        <v>65</v>
      </c>
      <c r="E218" s="19">
        <f>(INVENTARIO!$D218*INVENTARIO!$C218)</f>
        <v>260</v>
      </c>
      <c r="F218" s="20"/>
    </row>
    <row r="219" spans="1:6" x14ac:dyDescent="0.35">
      <c r="A219" s="22" t="s">
        <v>783</v>
      </c>
      <c r="B219" s="22" t="s">
        <v>784</v>
      </c>
      <c r="C219" s="22">
        <v>2</v>
      </c>
      <c r="D219" s="23">
        <v>110</v>
      </c>
      <c r="E219" s="23">
        <f>(INVENTARIO!$D219*INVENTARIO!$C219)</f>
        <v>220</v>
      </c>
      <c r="F219" s="24"/>
    </row>
    <row r="220" spans="1:6" s="8" customFormat="1" x14ac:dyDescent="0.35">
      <c r="A220" s="18" t="s">
        <v>488</v>
      </c>
      <c r="B220" s="18" t="s">
        <v>489</v>
      </c>
      <c r="C220" s="18">
        <v>1</v>
      </c>
      <c r="D220" s="19">
        <v>35</v>
      </c>
      <c r="E220" s="19">
        <f>(INVENTARIO!$D220*INVENTARIO!$C220)</f>
        <v>35</v>
      </c>
      <c r="F220" s="20"/>
    </row>
    <row r="221" spans="1:6" s="8" customFormat="1" x14ac:dyDescent="0.35">
      <c r="A221" s="12" t="s">
        <v>204</v>
      </c>
      <c r="B221" s="12" t="s">
        <v>280</v>
      </c>
      <c r="C221" s="12">
        <v>2</v>
      </c>
      <c r="D221" s="13">
        <v>35</v>
      </c>
      <c r="E221" s="13">
        <f>(INVENTARIO!$D221*INVENTARIO!$C221)</f>
        <v>70</v>
      </c>
      <c r="F221" s="21"/>
    </row>
    <row r="222" spans="1:6" s="8" customFormat="1" x14ac:dyDescent="0.35">
      <c r="A222" s="15" t="s">
        <v>206</v>
      </c>
      <c r="B222" s="15" t="s">
        <v>282</v>
      </c>
      <c r="C222" s="15">
        <v>0</v>
      </c>
      <c r="D222" s="16">
        <v>100</v>
      </c>
      <c r="E222" s="16">
        <f>(INVENTARIO!$D222*INVENTARIO!$C222)</f>
        <v>0</v>
      </c>
      <c r="F222" s="17"/>
    </row>
    <row r="223" spans="1:6" s="11" customFormat="1" x14ac:dyDescent="0.35">
      <c r="A223" s="35" t="s">
        <v>195</v>
      </c>
      <c r="B223" s="35" t="s">
        <v>273</v>
      </c>
      <c r="C223" s="35">
        <v>4</v>
      </c>
      <c r="D223" s="36"/>
      <c r="E223" s="36">
        <f>(INVENTARIO!$D223*INVENTARIO!$C223)</f>
        <v>0</v>
      </c>
      <c r="F223" s="24"/>
    </row>
    <row r="224" spans="1:6" x14ac:dyDescent="0.35">
      <c r="A224" s="18" t="s">
        <v>185</v>
      </c>
      <c r="B224" s="18" t="s">
        <v>265</v>
      </c>
      <c r="C224" s="18">
        <v>1</v>
      </c>
      <c r="D224" s="19">
        <v>40</v>
      </c>
      <c r="E224" s="19">
        <f>(INVENTARIO!$D224*INVENTARIO!$C224)</f>
        <v>40</v>
      </c>
      <c r="F224" s="20"/>
    </row>
    <row r="225" spans="1:6" s="8" customFormat="1" x14ac:dyDescent="0.35">
      <c r="A225" s="22" t="s">
        <v>183</v>
      </c>
      <c r="B225" s="22" t="s">
        <v>263</v>
      </c>
      <c r="C225" s="22">
        <v>1</v>
      </c>
      <c r="D225" s="23">
        <v>18</v>
      </c>
      <c r="E225" s="23">
        <f>(INVENTARIO!$D225*INVENTARIO!$C225)</f>
        <v>18</v>
      </c>
      <c r="F225" s="24"/>
    </row>
    <row r="226" spans="1:6" s="8" customFormat="1" x14ac:dyDescent="0.35">
      <c r="A226" s="18" t="s">
        <v>186</v>
      </c>
      <c r="B226" s="18" t="s">
        <v>266</v>
      </c>
      <c r="C226" s="18">
        <v>4</v>
      </c>
      <c r="D226" s="19">
        <v>25</v>
      </c>
      <c r="E226" s="19">
        <f>(INVENTARIO!$D226*INVENTARIO!$C226)</f>
        <v>100</v>
      </c>
      <c r="F226" s="20"/>
    </row>
    <row r="227" spans="1:6" x14ac:dyDescent="0.35">
      <c r="A227" s="22" t="s">
        <v>665</v>
      </c>
      <c r="B227" s="22" t="s">
        <v>666</v>
      </c>
      <c r="C227" s="22">
        <v>5</v>
      </c>
      <c r="D227" s="23">
        <v>10</v>
      </c>
      <c r="E227" s="23">
        <f>(INVENTARIO!$D227*INVENTARIO!$C227)</f>
        <v>50</v>
      </c>
      <c r="F227" s="24"/>
    </row>
    <row r="228" spans="1:6" s="8" customFormat="1" x14ac:dyDescent="0.35">
      <c r="A228" s="18" t="s">
        <v>182</v>
      </c>
      <c r="B228" s="18" t="s">
        <v>262</v>
      </c>
      <c r="C228" s="18">
        <v>26</v>
      </c>
      <c r="D228" s="19">
        <v>15</v>
      </c>
      <c r="E228" s="19">
        <f>(INVENTARIO!$D228*INVENTARIO!$C228)</f>
        <v>390</v>
      </c>
      <c r="F228" s="20"/>
    </row>
    <row r="229" spans="1:6" s="8" customFormat="1" x14ac:dyDescent="0.35">
      <c r="A229" s="22" t="s">
        <v>963</v>
      </c>
      <c r="B229" s="22" t="s">
        <v>964</v>
      </c>
      <c r="C229" s="22">
        <v>4</v>
      </c>
      <c r="D229" s="23">
        <v>30</v>
      </c>
      <c r="E229" s="23">
        <f>(INVENTARIO!$D229*INVENTARIO!$C229)</f>
        <v>120</v>
      </c>
      <c r="F229" s="24"/>
    </row>
    <row r="230" spans="1:6" x14ac:dyDescent="0.35">
      <c r="A230" s="18" t="s">
        <v>189</v>
      </c>
      <c r="B230" s="18" t="s">
        <v>268</v>
      </c>
      <c r="C230" s="18">
        <v>3</v>
      </c>
      <c r="D230" s="19">
        <v>40</v>
      </c>
      <c r="E230" s="19">
        <f>(INVENTARIO!$D230*INVENTARIO!$C230)</f>
        <v>120</v>
      </c>
      <c r="F230" s="20"/>
    </row>
    <row r="231" spans="1:6" s="8" customFormat="1" x14ac:dyDescent="0.35">
      <c r="A231" s="22" t="s">
        <v>190</v>
      </c>
      <c r="B231" s="22" t="s">
        <v>269</v>
      </c>
      <c r="C231" s="22">
        <v>3</v>
      </c>
      <c r="D231" s="23">
        <v>28</v>
      </c>
      <c r="E231" s="23">
        <f>(INVENTARIO!$D231*INVENTARIO!$C231)</f>
        <v>84</v>
      </c>
      <c r="F231" s="21"/>
    </row>
    <row r="232" spans="1:6" s="8" customFormat="1" x14ac:dyDescent="0.35">
      <c r="A232" s="18" t="s">
        <v>191</v>
      </c>
      <c r="B232" s="18" t="s">
        <v>270</v>
      </c>
      <c r="C232" s="18">
        <v>2</v>
      </c>
      <c r="D232" s="19">
        <v>45</v>
      </c>
      <c r="E232" s="19">
        <f>(INVENTARIO!$D232*INVENTARIO!$C232)</f>
        <v>90</v>
      </c>
      <c r="F232" s="21"/>
    </row>
    <row r="233" spans="1:6" x14ac:dyDescent="0.35">
      <c r="A233" s="12" t="s">
        <v>192</v>
      </c>
      <c r="B233" s="12" t="s">
        <v>667</v>
      </c>
      <c r="C233" s="12">
        <v>3</v>
      </c>
      <c r="D233" s="13">
        <v>25</v>
      </c>
      <c r="E233" s="13">
        <f>(INVENTARIO!$D233*INVENTARIO!$C233)</f>
        <v>75</v>
      </c>
      <c r="F233" s="21"/>
    </row>
    <row r="234" spans="1:6" x14ac:dyDescent="0.35">
      <c r="A234" s="18" t="s">
        <v>193</v>
      </c>
      <c r="B234" s="18" t="s">
        <v>271</v>
      </c>
      <c r="C234" s="18">
        <v>5</v>
      </c>
      <c r="D234" s="19">
        <v>35</v>
      </c>
      <c r="E234" s="19">
        <f>(INVENTARIO!$D234*INVENTARIO!$C234)</f>
        <v>175</v>
      </c>
      <c r="F234" s="20"/>
    </row>
    <row r="235" spans="1:6" s="8" customFormat="1" x14ac:dyDescent="0.35">
      <c r="A235" s="12" t="s">
        <v>181</v>
      </c>
      <c r="B235" s="12" t="s">
        <v>985</v>
      </c>
      <c r="C235" s="12">
        <v>81</v>
      </c>
      <c r="D235" s="13">
        <v>8</v>
      </c>
      <c r="E235" s="13">
        <f>(INVENTARIO!$D235*INVENTARIO!$C235)</f>
        <v>648</v>
      </c>
      <c r="F235" s="21"/>
    </row>
    <row r="236" spans="1:6" s="8" customFormat="1" x14ac:dyDescent="0.35">
      <c r="A236" s="12" t="s">
        <v>179</v>
      </c>
      <c r="B236" s="12" t="s">
        <v>436</v>
      </c>
      <c r="C236" s="12">
        <v>50</v>
      </c>
      <c r="D236" s="13">
        <v>6</v>
      </c>
      <c r="E236" s="13">
        <f>(INVENTARIO!$D236*INVENTARIO!$C236)</f>
        <v>300</v>
      </c>
      <c r="F236" s="21"/>
    </row>
    <row r="237" spans="1:6" s="8" customFormat="1" x14ac:dyDescent="0.35">
      <c r="A237" s="22" t="s">
        <v>180</v>
      </c>
      <c r="B237" s="22" t="s">
        <v>522</v>
      </c>
      <c r="C237" s="22">
        <v>9</v>
      </c>
      <c r="D237" s="23">
        <v>6</v>
      </c>
      <c r="E237" s="23">
        <f>(INVENTARIO!$D237*INVENTARIO!$C237)</f>
        <v>54</v>
      </c>
      <c r="F237" s="24"/>
    </row>
    <row r="238" spans="1:6" s="8" customFormat="1" x14ac:dyDescent="0.35">
      <c r="A238" s="18" t="s">
        <v>551</v>
      </c>
      <c r="B238" s="18" t="s">
        <v>552</v>
      </c>
      <c r="C238" s="18">
        <v>8</v>
      </c>
      <c r="D238" s="19">
        <v>10</v>
      </c>
      <c r="E238" s="19">
        <f>(INVENTARIO!$D238*INVENTARIO!$C238)</f>
        <v>80</v>
      </c>
      <c r="F238" s="20"/>
    </row>
    <row r="239" spans="1:6" s="8" customFormat="1" x14ac:dyDescent="0.35">
      <c r="A239" s="22" t="s">
        <v>184</v>
      </c>
      <c r="B239" s="22" t="s">
        <v>264</v>
      </c>
      <c r="C239" s="22">
        <v>3</v>
      </c>
      <c r="D239" s="23">
        <v>15</v>
      </c>
      <c r="E239" s="23">
        <f>(INVENTARIO!$D239*INVENTARIO!$C239)</f>
        <v>45</v>
      </c>
      <c r="F239" s="24"/>
    </row>
    <row r="240" spans="1:6" x14ac:dyDescent="0.35">
      <c r="A240" s="18" t="s">
        <v>239</v>
      </c>
      <c r="B240" s="18" t="s">
        <v>392</v>
      </c>
      <c r="C240" s="18">
        <v>4</v>
      </c>
      <c r="D240" s="19">
        <v>9</v>
      </c>
      <c r="E240" s="19">
        <f>(INVENTARIO!$D240*INVENTARIO!$C240)</f>
        <v>36</v>
      </c>
      <c r="F240" s="20"/>
    </row>
    <row r="241" spans="1:6" s="11" customFormat="1" x14ac:dyDescent="0.35">
      <c r="A241" s="22" t="s">
        <v>357</v>
      </c>
      <c r="B241" s="22" t="s">
        <v>358</v>
      </c>
      <c r="C241" s="22">
        <v>8</v>
      </c>
      <c r="D241" s="23">
        <v>13</v>
      </c>
      <c r="E241" s="23">
        <f>(INVENTARIO!$D241*INVENTARIO!$C241)</f>
        <v>104</v>
      </c>
      <c r="F241" s="24"/>
    </row>
    <row r="242" spans="1:6" s="11" customFormat="1" x14ac:dyDescent="0.35">
      <c r="A242" s="18" t="s">
        <v>583</v>
      </c>
      <c r="B242" s="18" t="s">
        <v>586</v>
      </c>
      <c r="C242" s="18">
        <v>2</v>
      </c>
      <c r="D242" s="19">
        <v>5</v>
      </c>
      <c r="E242" s="19">
        <f>(INVENTARIO!$D242*INVENTARIO!$C242)</f>
        <v>10</v>
      </c>
      <c r="F242" s="20"/>
    </row>
    <row r="243" spans="1:6" x14ac:dyDescent="0.35">
      <c r="A243" s="22" t="s">
        <v>194</v>
      </c>
      <c r="B243" s="22" t="s">
        <v>272</v>
      </c>
      <c r="C243" s="22">
        <v>3</v>
      </c>
      <c r="D243" s="23">
        <v>30</v>
      </c>
      <c r="E243" s="23">
        <f>(INVENTARIO!$D243*INVENTARIO!$C243)</f>
        <v>90</v>
      </c>
      <c r="F243" s="24"/>
    </row>
    <row r="244" spans="1:6" x14ac:dyDescent="0.35">
      <c r="A244" s="18" t="s">
        <v>219</v>
      </c>
      <c r="B244" s="18" t="s">
        <v>289</v>
      </c>
      <c r="C244" s="18">
        <v>6</v>
      </c>
      <c r="D244" s="19">
        <v>20</v>
      </c>
      <c r="E244" s="19">
        <f>(INVENTARIO!$D244*INVENTARIO!$C244)</f>
        <v>120</v>
      </c>
      <c r="F244" s="20"/>
    </row>
    <row r="245" spans="1:6" s="8" customFormat="1" x14ac:dyDescent="0.35">
      <c r="A245" s="22" t="s">
        <v>933</v>
      </c>
      <c r="B245" s="22" t="s">
        <v>934</v>
      </c>
      <c r="C245" s="22">
        <v>1</v>
      </c>
      <c r="D245" s="23">
        <v>30</v>
      </c>
      <c r="E245" s="23">
        <f>(INVENTARIO!$D245*INVENTARIO!$C245)</f>
        <v>30</v>
      </c>
      <c r="F245" s="24"/>
    </row>
    <row r="246" spans="1:6" x14ac:dyDescent="0.35">
      <c r="A246" s="12" t="s">
        <v>314</v>
      </c>
      <c r="B246" s="12" t="s">
        <v>320</v>
      </c>
      <c r="C246" s="12">
        <v>3</v>
      </c>
      <c r="D246" s="13">
        <v>45</v>
      </c>
      <c r="E246" s="13">
        <f>(INVENTARIO!$D246*INVENTARIO!$C246)</f>
        <v>135</v>
      </c>
      <c r="F246" s="21"/>
    </row>
    <row r="247" spans="1:6" s="11" customFormat="1" x14ac:dyDescent="0.35">
      <c r="A247" s="22" t="s">
        <v>939</v>
      </c>
      <c r="B247" s="22" t="s">
        <v>941</v>
      </c>
      <c r="C247" s="22">
        <v>24</v>
      </c>
      <c r="D247" s="23">
        <v>2.5</v>
      </c>
      <c r="E247" s="23">
        <f>(INVENTARIO!$D247*INVENTARIO!$C247)</f>
        <v>60</v>
      </c>
      <c r="F247" s="24"/>
    </row>
    <row r="248" spans="1:6" x14ac:dyDescent="0.35">
      <c r="A248" s="18" t="s">
        <v>3</v>
      </c>
      <c r="B248" s="18" t="s">
        <v>630</v>
      </c>
      <c r="C248" s="18">
        <v>5</v>
      </c>
      <c r="D248" s="19">
        <v>25</v>
      </c>
      <c r="E248" s="19">
        <f>(INVENTARIO!$D248*INVENTARIO!$C248)</f>
        <v>125</v>
      </c>
      <c r="F248" s="20"/>
    </row>
    <row r="249" spans="1:6" s="8" customFormat="1" x14ac:dyDescent="0.35">
      <c r="A249" s="22" t="s">
        <v>631</v>
      </c>
      <c r="B249" s="22" t="s">
        <v>931</v>
      </c>
      <c r="C249" s="22">
        <v>14</v>
      </c>
      <c r="D249" s="23">
        <v>10</v>
      </c>
      <c r="E249" s="23">
        <f>(INVENTARIO!$D249*INVENTARIO!$C249)</f>
        <v>140</v>
      </c>
      <c r="F249" s="24"/>
    </row>
    <row r="250" spans="1:6" s="8" customFormat="1" x14ac:dyDescent="0.35">
      <c r="A250" s="12" t="s">
        <v>435</v>
      </c>
      <c r="B250" s="12" t="s">
        <v>997</v>
      </c>
      <c r="C250" s="12">
        <v>10</v>
      </c>
      <c r="D250" s="13">
        <v>12</v>
      </c>
      <c r="E250" s="13">
        <f>(INVENTARIO!$D250*INVENTARIO!$C250)</f>
        <v>120</v>
      </c>
      <c r="F250" s="21"/>
    </row>
    <row r="251" spans="1:6" s="8" customFormat="1" x14ac:dyDescent="0.35">
      <c r="A251" s="12" t="s">
        <v>433</v>
      </c>
      <c r="B251" s="12" t="s">
        <v>998</v>
      </c>
      <c r="C251" s="12">
        <v>5</v>
      </c>
      <c r="D251" s="13">
        <v>28</v>
      </c>
      <c r="E251" s="13">
        <f>(INVENTARIO!$D251*INVENTARIO!$C251)</f>
        <v>140</v>
      </c>
      <c r="F251" s="21"/>
    </row>
    <row r="252" spans="1:6" s="8" customFormat="1" ht="24" customHeight="1" x14ac:dyDescent="0.35">
      <c r="A252" s="12" t="s">
        <v>555</v>
      </c>
      <c r="B252" s="12" t="s">
        <v>999</v>
      </c>
      <c r="C252" s="12">
        <v>8</v>
      </c>
      <c r="D252" s="13">
        <v>18</v>
      </c>
      <c r="E252" s="13">
        <f>(INVENTARIO!$D252*INVENTARIO!$C252)</f>
        <v>144</v>
      </c>
      <c r="F252" s="21"/>
    </row>
    <row r="253" spans="1:6" x14ac:dyDescent="0.35">
      <c r="A253" s="12" t="s">
        <v>497</v>
      </c>
      <c r="B253" s="12" t="s">
        <v>498</v>
      </c>
      <c r="C253" s="12">
        <v>12</v>
      </c>
      <c r="D253" s="13">
        <v>8</v>
      </c>
      <c r="E253" s="13">
        <f>(INVENTARIO!$D253*INVENTARIO!$C253)</f>
        <v>96</v>
      </c>
      <c r="F253" s="21"/>
    </row>
    <row r="254" spans="1:6" x14ac:dyDescent="0.35">
      <c r="A254" s="18" t="s">
        <v>462</v>
      </c>
      <c r="B254" s="18" t="s">
        <v>463</v>
      </c>
      <c r="C254" s="18">
        <v>2</v>
      </c>
      <c r="D254" s="19">
        <v>45</v>
      </c>
      <c r="E254" s="19">
        <f>(INVENTARIO!$D254*INVENTARIO!$C254)</f>
        <v>90</v>
      </c>
      <c r="F254" s="20"/>
    </row>
    <row r="255" spans="1:6" x14ac:dyDescent="0.35">
      <c r="A255" s="15" t="s">
        <v>487</v>
      </c>
      <c r="B255" s="15" t="s">
        <v>494</v>
      </c>
      <c r="C255" s="15">
        <v>0</v>
      </c>
      <c r="D255" s="16">
        <v>40</v>
      </c>
      <c r="E255" s="16">
        <f>(INVENTARIO!$D255*INVENTARIO!$C255)</f>
        <v>0</v>
      </c>
      <c r="F255" s="17"/>
    </row>
    <row r="256" spans="1:6" x14ac:dyDescent="0.35">
      <c r="A256" s="12" t="s">
        <v>495</v>
      </c>
      <c r="B256" s="12" t="s">
        <v>496</v>
      </c>
      <c r="C256" s="12">
        <v>4</v>
      </c>
      <c r="D256" s="13">
        <v>35</v>
      </c>
      <c r="E256" s="13">
        <f>(INVENTARIO!$D256*INVENTARIO!$C256)</f>
        <v>140</v>
      </c>
      <c r="F256" s="21"/>
    </row>
    <row r="257" spans="1:6" s="11" customFormat="1" x14ac:dyDescent="0.35">
      <c r="A257" s="22" t="s">
        <v>918</v>
      </c>
      <c r="B257" s="22" t="s">
        <v>927</v>
      </c>
      <c r="C257" s="22">
        <v>3</v>
      </c>
      <c r="D257" s="23">
        <v>30</v>
      </c>
      <c r="E257" s="23">
        <f>(INVENTARIO!$D257*INVENTARIO!$C257)</f>
        <v>90</v>
      </c>
      <c r="F257" s="24"/>
    </row>
    <row r="258" spans="1:6" s="11" customFormat="1" x14ac:dyDescent="0.35">
      <c r="A258" s="18" t="s">
        <v>415</v>
      </c>
      <c r="B258" s="18" t="s">
        <v>416</v>
      </c>
      <c r="C258" s="18">
        <v>8</v>
      </c>
      <c r="D258" s="19">
        <v>15</v>
      </c>
      <c r="E258" s="19">
        <f>(INVENTARIO!$D258*INVENTARIO!$C258)</f>
        <v>120</v>
      </c>
      <c r="F258" s="20"/>
    </row>
    <row r="259" spans="1:6" s="8" customFormat="1" x14ac:dyDescent="0.35">
      <c r="A259" s="22" t="s">
        <v>871</v>
      </c>
      <c r="B259" s="22" t="s">
        <v>872</v>
      </c>
      <c r="C259" s="22">
        <v>2</v>
      </c>
      <c r="D259" s="23">
        <v>50</v>
      </c>
      <c r="E259" s="23">
        <f>(INVENTARIO!$D259*INVENTARIO!$C259)</f>
        <v>100</v>
      </c>
      <c r="F259" s="24"/>
    </row>
    <row r="260" spans="1:6" x14ac:dyDescent="0.35">
      <c r="A260" s="18" t="s">
        <v>518</v>
      </c>
      <c r="B260" s="18" t="s">
        <v>519</v>
      </c>
      <c r="C260" s="18">
        <v>2</v>
      </c>
      <c r="D260" s="19">
        <v>30</v>
      </c>
      <c r="E260" s="19">
        <f>(INVENTARIO!$D260*INVENTARIO!$C260)</f>
        <v>60</v>
      </c>
      <c r="F260" s="20"/>
    </row>
    <row r="261" spans="1:6" x14ac:dyDescent="0.35">
      <c r="A261" s="22" t="s">
        <v>1046</v>
      </c>
      <c r="B261" s="22" t="s">
        <v>1047</v>
      </c>
      <c r="C261" s="22">
        <v>4</v>
      </c>
      <c r="D261" s="23">
        <v>25</v>
      </c>
      <c r="E261" s="23">
        <f>(INVENTARIO!$D261*INVENTARIO!$C261)</f>
        <v>100</v>
      </c>
      <c r="F261" s="24"/>
    </row>
    <row r="262" spans="1:6" x14ac:dyDescent="0.35">
      <c r="A262" s="18" t="s">
        <v>173</v>
      </c>
      <c r="B262" s="18" t="s">
        <v>349</v>
      </c>
      <c r="C262" s="18">
        <v>4</v>
      </c>
      <c r="D262" s="19">
        <v>30</v>
      </c>
      <c r="E262" s="19">
        <f>(INVENTARIO!$D262*INVENTARIO!$C262)</f>
        <v>120</v>
      </c>
      <c r="F262" s="20"/>
    </row>
    <row r="263" spans="1:6" s="8" customFormat="1" x14ac:dyDescent="0.35">
      <c r="A263" s="12" t="s">
        <v>443</v>
      </c>
      <c r="B263" s="12" t="s">
        <v>827</v>
      </c>
      <c r="C263" s="12">
        <v>3</v>
      </c>
      <c r="D263" s="13">
        <v>110</v>
      </c>
      <c r="E263" s="13">
        <f>(INVENTARIO!$D263*INVENTARIO!$C263)</f>
        <v>330</v>
      </c>
      <c r="F263" s="21"/>
    </row>
    <row r="264" spans="1:6" s="8" customFormat="1" x14ac:dyDescent="0.35">
      <c r="A264" s="18" t="s">
        <v>940</v>
      </c>
      <c r="B264" s="18" t="s">
        <v>942</v>
      </c>
      <c r="C264" s="18">
        <v>1</v>
      </c>
      <c r="D264" s="19">
        <v>110</v>
      </c>
      <c r="E264" s="19">
        <f>(INVENTARIO!$D264*INVENTARIO!$C264)</f>
        <v>110</v>
      </c>
      <c r="F264" s="20"/>
    </row>
    <row r="265" spans="1:6" s="11" customFormat="1" x14ac:dyDescent="0.35">
      <c r="A265" s="22" t="s">
        <v>627</v>
      </c>
      <c r="B265" s="22" t="s">
        <v>626</v>
      </c>
      <c r="C265" s="22">
        <v>1</v>
      </c>
      <c r="D265" s="23">
        <v>60</v>
      </c>
      <c r="E265" s="23">
        <f>(INVENTARIO!$D265*INVENTARIO!$C265)</f>
        <v>60</v>
      </c>
      <c r="F265" s="24"/>
    </row>
    <row r="266" spans="1:6" s="8" customFormat="1" x14ac:dyDescent="0.35">
      <c r="A266" s="12" t="s">
        <v>175</v>
      </c>
      <c r="B266" s="12" t="s">
        <v>437</v>
      </c>
      <c r="C266" s="12">
        <v>1</v>
      </c>
      <c r="D266" s="13">
        <v>70</v>
      </c>
      <c r="E266" s="13">
        <f>(INVENTARIO!$D266*INVENTARIO!$C266)</f>
        <v>70</v>
      </c>
      <c r="F266" s="21"/>
    </row>
    <row r="267" spans="1:6" s="8" customFormat="1" x14ac:dyDescent="0.35">
      <c r="A267" s="22" t="s">
        <v>658</v>
      </c>
      <c r="B267" s="22" t="s">
        <v>710</v>
      </c>
      <c r="C267" s="22">
        <v>6</v>
      </c>
      <c r="D267" s="23">
        <v>35</v>
      </c>
      <c r="E267" s="23">
        <f>(INVENTARIO!$D267*INVENTARIO!$C267)</f>
        <v>210</v>
      </c>
      <c r="F267" s="24"/>
    </row>
    <row r="268" spans="1:6" x14ac:dyDescent="0.35">
      <c r="A268" s="18" t="s">
        <v>913</v>
      </c>
      <c r="B268" s="18" t="s">
        <v>921</v>
      </c>
      <c r="C268" s="18">
        <v>2</v>
      </c>
      <c r="D268" s="19">
        <v>60</v>
      </c>
      <c r="E268" s="19">
        <f>(INVENTARIO!$D268*INVENTARIO!$C268)</f>
        <v>120</v>
      </c>
      <c r="F268" s="20"/>
    </row>
    <row r="269" spans="1:6" x14ac:dyDescent="0.35">
      <c r="A269" s="22" t="s">
        <v>611</v>
      </c>
      <c r="B269" s="22" t="s">
        <v>612</v>
      </c>
      <c r="C269" s="22">
        <v>4</v>
      </c>
      <c r="D269" s="23">
        <v>50</v>
      </c>
      <c r="E269" s="23">
        <f>(INVENTARIO!$D269*INVENTARIO!$C269)</f>
        <v>200</v>
      </c>
      <c r="F269" s="24"/>
    </row>
    <row r="270" spans="1:6" s="8" customFormat="1" x14ac:dyDescent="0.35">
      <c r="A270" s="18" t="s">
        <v>878</v>
      </c>
      <c r="B270" s="18" t="s">
        <v>879</v>
      </c>
      <c r="C270" s="18">
        <v>2</v>
      </c>
      <c r="D270" s="19">
        <v>100</v>
      </c>
      <c r="E270" s="19">
        <f>(INVENTARIO!$D270*INVENTARIO!$C270)</f>
        <v>200</v>
      </c>
      <c r="F270" s="20"/>
    </row>
    <row r="271" spans="1:6" x14ac:dyDescent="0.35">
      <c r="A271" s="22" t="s">
        <v>914</v>
      </c>
      <c r="B271" s="22" t="s">
        <v>922</v>
      </c>
      <c r="C271" s="22">
        <v>2</v>
      </c>
      <c r="D271" s="23">
        <v>60</v>
      </c>
      <c r="E271" s="23">
        <f>(INVENTARIO!$D271*INVENTARIO!$C271)</f>
        <v>120</v>
      </c>
      <c r="F271" s="24"/>
    </row>
    <row r="272" spans="1:6" x14ac:dyDescent="0.35">
      <c r="A272" s="12" t="s">
        <v>174</v>
      </c>
      <c r="B272" s="12" t="s">
        <v>628</v>
      </c>
      <c r="C272" s="12">
        <v>4</v>
      </c>
      <c r="D272" s="13">
        <v>70</v>
      </c>
      <c r="E272" s="13">
        <f>(INVENTARIO!$D272*INVENTARIO!$C272)</f>
        <v>280</v>
      </c>
      <c r="F272" s="21"/>
    </row>
    <row r="273" spans="1:6" x14ac:dyDescent="0.35">
      <c r="A273" s="22" t="s">
        <v>632</v>
      </c>
      <c r="B273" s="22" t="s">
        <v>634</v>
      </c>
      <c r="C273" s="22">
        <v>8</v>
      </c>
      <c r="D273" s="23">
        <v>10</v>
      </c>
      <c r="E273" s="23">
        <f>(INVENTARIO!$D273*INVENTARIO!$C273)</f>
        <v>80</v>
      </c>
      <c r="F273" s="24"/>
    </row>
    <row r="274" spans="1:6" s="8" customFormat="1" x14ac:dyDescent="0.35">
      <c r="A274" s="18" t="s">
        <v>633</v>
      </c>
      <c r="B274" s="18" t="s">
        <v>635</v>
      </c>
      <c r="C274" s="18">
        <v>8</v>
      </c>
      <c r="D274" s="19">
        <v>18</v>
      </c>
      <c r="E274" s="19">
        <f>(INVENTARIO!$D274*INVENTARIO!$C274)</f>
        <v>144</v>
      </c>
      <c r="F274" s="20"/>
    </row>
    <row r="275" spans="1:6" s="8" customFormat="1" x14ac:dyDescent="0.35">
      <c r="A275" s="22" t="s">
        <v>742</v>
      </c>
      <c r="B275" s="22" t="s">
        <v>743</v>
      </c>
      <c r="C275" s="22">
        <v>1</v>
      </c>
      <c r="D275" s="23">
        <v>170</v>
      </c>
      <c r="E275" s="23">
        <f>(INVENTARIO!$D275*INVENTARIO!$C275)</f>
        <v>170</v>
      </c>
      <c r="F275" s="24"/>
    </row>
    <row r="276" spans="1:6" s="8" customFormat="1" x14ac:dyDescent="0.35">
      <c r="A276" s="18" t="s">
        <v>534</v>
      </c>
      <c r="B276" s="18" t="s">
        <v>676</v>
      </c>
      <c r="C276" s="18">
        <v>1</v>
      </c>
      <c r="D276" s="19">
        <v>250</v>
      </c>
      <c r="E276" s="19">
        <f>(INVENTARIO!$D276*INVENTARIO!$C276)</f>
        <v>250</v>
      </c>
      <c r="F276" s="20"/>
    </row>
    <row r="277" spans="1:6" s="8" customFormat="1" x14ac:dyDescent="0.35">
      <c r="A277" s="22" t="s">
        <v>757</v>
      </c>
      <c r="B277" s="22" t="s">
        <v>758</v>
      </c>
      <c r="C277" s="22">
        <v>3</v>
      </c>
      <c r="D277" s="23">
        <v>60</v>
      </c>
      <c r="E277" s="23">
        <f>(INVENTARIO!$D277*INVENTARIO!$C277)</f>
        <v>180</v>
      </c>
      <c r="F277" s="24"/>
    </row>
    <row r="278" spans="1:6" s="11" customFormat="1" x14ac:dyDescent="0.35">
      <c r="A278" s="18" t="s">
        <v>553</v>
      </c>
      <c r="B278" s="18" t="s">
        <v>554</v>
      </c>
      <c r="C278" s="18">
        <v>2</v>
      </c>
      <c r="D278" s="19">
        <v>35</v>
      </c>
      <c r="E278" s="19">
        <f>(INVENTARIO!$D278*INVENTARIO!$C278)</f>
        <v>70</v>
      </c>
      <c r="F278" s="20"/>
    </row>
    <row r="279" spans="1:6" s="11" customFormat="1" x14ac:dyDescent="0.35">
      <c r="A279" s="15" t="s">
        <v>953</v>
      </c>
      <c r="B279" s="15" t="s">
        <v>955</v>
      </c>
      <c r="C279" s="15">
        <v>0</v>
      </c>
      <c r="D279" s="16">
        <v>100</v>
      </c>
      <c r="E279" s="16">
        <f>(INVENTARIO!$D279*INVENTARIO!$C279)</f>
        <v>0</v>
      </c>
      <c r="F279" s="17"/>
    </row>
    <row r="280" spans="1:6" s="11" customFormat="1" x14ac:dyDescent="0.35">
      <c r="A280" s="18" t="s">
        <v>954</v>
      </c>
      <c r="B280" s="18" t="s">
        <v>956</v>
      </c>
      <c r="C280" s="18">
        <v>2</v>
      </c>
      <c r="D280" s="19">
        <v>80</v>
      </c>
      <c r="E280" s="19">
        <f>(INVENTARIO!$D280*INVENTARIO!$C280)</f>
        <v>160</v>
      </c>
      <c r="F280" s="20"/>
    </row>
    <row r="281" spans="1:6" x14ac:dyDescent="0.35">
      <c r="A281" s="22" t="s">
        <v>947</v>
      </c>
      <c r="B281" s="22" t="s">
        <v>950</v>
      </c>
      <c r="C281" s="22">
        <v>2</v>
      </c>
      <c r="D281" s="23">
        <v>120</v>
      </c>
      <c r="E281" s="23">
        <f>(INVENTARIO!$D281*INVENTARIO!$C281)</f>
        <v>240</v>
      </c>
      <c r="F281" s="24"/>
    </row>
    <row r="282" spans="1:6" s="11" customFormat="1" x14ac:dyDescent="0.35">
      <c r="A282" s="18" t="s">
        <v>948</v>
      </c>
      <c r="B282" s="18" t="s">
        <v>952</v>
      </c>
      <c r="C282" s="18">
        <v>2</v>
      </c>
      <c r="D282" s="19">
        <v>90</v>
      </c>
      <c r="E282" s="19">
        <f>(INVENTARIO!$D282*INVENTARIO!$C282)</f>
        <v>180</v>
      </c>
      <c r="F282" s="20"/>
    </row>
    <row r="283" spans="1:6" x14ac:dyDescent="0.35">
      <c r="A283" s="22" t="s">
        <v>949</v>
      </c>
      <c r="B283" s="22" t="s">
        <v>951</v>
      </c>
      <c r="C283" s="22">
        <v>2</v>
      </c>
      <c r="D283" s="23">
        <v>65</v>
      </c>
      <c r="E283" s="23">
        <f>(INVENTARIO!$D283*INVENTARIO!$C283)</f>
        <v>130</v>
      </c>
      <c r="F283" s="24"/>
    </row>
    <row r="284" spans="1:6" x14ac:dyDescent="0.35">
      <c r="A284" s="12" t="s">
        <v>464</v>
      </c>
      <c r="B284" s="12" t="s">
        <v>465</v>
      </c>
      <c r="C284" s="12">
        <v>2</v>
      </c>
      <c r="D284" s="13">
        <v>640</v>
      </c>
      <c r="E284" s="13">
        <f>(INVENTARIO!$D284*INVENTARIO!$C284)</f>
        <v>1280</v>
      </c>
      <c r="F284" s="21"/>
    </row>
    <row r="285" spans="1:6" x14ac:dyDescent="0.35">
      <c r="A285" s="12" t="s">
        <v>726</v>
      </c>
      <c r="B285" s="12" t="s">
        <v>911</v>
      </c>
      <c r="C285" s="12">
        <v>2</v>
      </c>
      <c r="D285" s="13">
        <v>70</v>
      </c>
      <c r="E285" s="13">
        <f>(INVENTARIO!$D285*INVENTARIO!$C285)</f>
        <v>140</v>
      </c>
      <c r="F285" s="21"/>
    </row>
    <row r="286" spans="1:6" s="8" customFormat="1" x14ac:dyDescent="0.35">
      <c r="A286" s="18" t="s">
        <v>831</v>
      </c>
      <c r="B286" s="18" t="s">
        <v>835</v>
      </c>
      <c r="C286" s="18">
        <v>1</v>
      </c>
      <c r="D286" s="19">
        <v>450</v>
      </c>
      <c r="E286" s="19">
        <f>(INVENTARIO!$D286*INVENTARIO!$C286)</f>
        <v>450</v>
      </c>
      <c r="F286" s="20"/>
    </row>
    <row r="287" spans="1:6" s="8" customFormat="1" x14ac:dyDescent="0.35">
      <c r="A287" s="22" t="s">
        <v>830</v>
      </c>
      <c r="B287" s="22" t="s">
        <v>834</v>
      </c>
      <c r="C287" s="22">
        <v>1</v>
      </c>
      <c r="D287" s="23">
        <v>350</v>
      </c>
      <c r="E287" s="23">
        <f>(INVENTARIO!$D287*INVENTARIO!$C287)</f>
        <v>350</v>
      </c>
      <c r="F287" s="24"/>
    </row>
    <row r="288" spans="1:6" x14ac:dyDescent="0.35">
      <c r="A288" s="18" t="s">
        <v>803</v>
      </c>
      <c r="B288" s="18" t="s">
        <v>804</v>
      </c>
      <c r="C288" s="18">
        <v>1</v>
      </c>
      <c r="D288" s="19">
        <v>230</v>
      </c>
      <c r="E288" s="19">
        <f>(INVENTARIO!$D288*INVENTARIO!$C288)</f>
        <v>230</v>
      </c>
      <c r="F288" s="20"/>
    </row>
    <row r="289" spans="1:6" x14ac:dyDescent="0.35">
      <c r="A289" s="22" t="s">
        <v>637</v>
      </c>
      <c r="B289" s="22" t="s">
        <v>636</v>
      </c>
      <c r="C289" s="22">
        <v>1</v>
      </c>
      <c r="D289" s="23">
        <v>150</v>
      </c>
      <c r="E289" s="23">
        <f>(INVENTARIO!$D289*INVENTARIO!$C289)</f>
        <v>150</v>
      </c>
      <c r="F289" s="24"/>
    </row>
    <row r="290" spans="1:6" x14ac:dyDescent="0.35">
      <c r="A290" s="12" t="s">
        <v>42</v>
      </c>
      <c r="B290" s="12" t="s">
        <v>986</v>
      </c>
      <c r="C290" s="12">
        <v>1</v>
      </c>
      <c r="D290" s="13">
        <v>140</v>
      </c>
      <c r="E290" s="13">
        <f>(INVENTARIO!$D290*INVENTARIO!$C290)</f>
        <v>140</v>
      </c>
      <c r="F290" s="21"/>
    </row>
    <row r="291" spans="1:6" s="8" customFormat="1" x14ac:dyDescent="0.35">
      <c r="A291" s="22" t="s">
        <v>617</v>
      </c>
      <c r="B291" s="22" t="s">
        <v>618</v>
      </c>
      <c r="C291" s="22">
        <v>2</v>
      </c>
      <c r="D291" s="23">
        <v>350</v>
      </c>
      <c r="E291" s="23">
        <f>(INVENTARIO!$D291*INVENTARIO!$C291)</f>
        <v>700</v>
      </c>
      <c r="F291" s="24"/>
    </row>
    <row r="292" spans="1:6" s="8" customFormat="1" x14ac:dyDescent="0.35">
      <c r="A292" s="18" t="s">
        <v>370</v>
      </c>
      <c r="B292" s="18" t="s">
        <v>561</v>
      </c>
      <c r="C292" s="18">
        <v>1</v>
      </c>
      <c r="D292" s="19">
        <v>70</v>
      </c>
      <c r="E292" s="19">
        <f>(INVENTARIO!$D292*INVENTARIO!$C292)</f>
        <v>70</v>
      </c>
      <c r="F292" s="20"/>
    </row>
    <row r="293" spans="1:6" s="8" customFormat="1" x14ac:dyDescent="0.35">
      <c r="A293" s="15" t="s">
        <v>188</v>
      </c>
      <c r="B293" s="15" t="s">
        <v>267</v>
      </c>
      <c r="C293" s="15"/>
      <c r="D293" s="16">
        <v>60</v>
      </c>
      <c r="E293" s="16">
        <f>(INVENTARIO!$D293*INVENTARIO!$C293)</f>
        <v>0</v>
      </c>
      <c r="F293" s="17"/>
    </row>
    <row r="294" spans="1:6" s="8" customFormat="1" x14ac:dyDescent="0.35">
      <c r="A294" s="15" t="s">
        <v>187</v>
      </c>
      <c r="B294" s="15" t="s">
        <v>419</v>
      </c>
      <c r="C294" s="15">
        <v>0</v>
      </c>
      <c r="D294" s="16">
        <v>70</v>
      </c>
      <c r="E294" s="16">
        <f>(INVENTARIO!$D294*INVENTARIO!$C294)</f>
        <v>0</v>
      </c>
      <c r="F294" s="17"/>
    </row>
    <row r="295" spans="1:6" x14ac:dyDescent="0.35">
      <c r="A295" s="22" t="s">
        <v>704</v>
      </c>
      <c r="B295" s="22" t="s">
        <v>991</v>
      </c>
      <c r="C295" s="22">
        <v>2</v>
      </c>
      <c r="D295" s="23">
        <v>30</v>
      </c>
      <c r="E295" s="23">
        <f>(INVENTARIO!$D295*INVENTARIO!$C295)</f>
        <v>60</v>
      </c>
      <c r="F295" s="24"/>
    </row>
    <row r="296" spans="1:6" s="11" customFormat="1" x14ac:dyDescent="0.35">
      <c r="A296" s="18" t="s">
        <v>706</v>
      </c>
      <c r="B296" s="18" t="s">
        <v>705</v>
      </c>
      <c r="C296" s="18">
        <v>4</v>
      </c>
      <c r="D296" s="19">
        <v>20</v>
      </c>
      <c r="E296" s="19">
        <f>(INVENTARIO!$D296*INVENTARIO!$C296)</f>
        <v>80</v>
      </c>
      <c r="F296" s="20"/>
    </row>
    <row r="297" spans="1:6" x14ac:dyDescent="0.35">
      <c r="A297" s="12" t="s">
        <v>764</v>
      </c>
      <c r="B297" s="12" t="s">
        <v>765</v>
      </c>
      <c r="C297" s="12">
        <v>9</v>
      </c>
      <c r="D297" s="13">
        <v>20</v>
      </c>
      <c r="E297" s="13">
        <f>(INVENTARIO!$D297*INVENTARIO!$C297)</f>
        <v>180</v>
      </c>
      <c r="F297" s="21"/>
    </row>
    <row r="298" spans="1:6" s="11" customFormat="1" x14ac:dyDescent="0.35">
      <c r="A298" s="18" t="s">
        <v>898</v>
      </c>
      <c r="B298" s="18" t="s">
        <v>899</v>
      </c>
      <c r="C298" s="18">
        <v>1</v>
      </c>
      <c r="D298" s="19">
        <v>25</v>
      </c>
      <c r="E298" s="19">
        <f>(INVENTARIO!$D298*INVENTARIO!$C298)</f>
        <v>25</v>
      </c>
      <c r="F298" s="20"/>
    </row>
    <row r="299" spans="1:6" x14ac:dyDescent="0.35">
      <c r="A299" s="22" t="s">
        <v>821</v>
      </c>
      <c r="B299" s="22" t="s">
        <v>824</v>
      </c>
      <c r="C299" s="22">
        <v>1</v>
      </c>
      <c r="D299" s="23">
        <v>160</v>
      </c>
      <c r="E299" s="23">
        <f>(INVENTARIO!$D299*INVENTARIO!$C299)</f>
        <v>160</v>
      </c>
      <c r="F299" s="24"/>
    </row>
    <row r="300" spans="1:6" x14ac:dyDescent="0.35">
      <c r="A300" s="12" t="s">
        <v>825</v>
      </c>
      <c r="B300" s="12" t="s">
        <v>826</v>
      </c>
      <c r="C300" s="12">
        <v>1</v>
      </c>
      <c r="D300" s="13">
        <v>110</v>
      </c>
      <c r="E300" s="13">
        <f>(INVENTARIO!$D300*INVENTARIO!$C300)</f>
        <v>110</v>
      </c>
      <c r="F300" s="21"/>
    </row>
    <row r="301" spans="1:6" x14ac:dyDescent="0.35">
      <c r="A301" s="22" t="s">
        <v>668</v>
      </c>
      <c r="B301" s="22" t="s">
        <v>669</v>
      </c>
      <c r="C301" s="22">
        <v>4</v>
      </c>
      <c r="D301" s="23">
        <v>22</v>
      </c>
      <c r="E301" s="23">
        <f>(INVENTARIO!$D301*INVENTARIO!$C301)</f>
        <v>88</v>
      </c>
      <c r="F301" s="24"/>
    </row>
    <row r="302" spans="1:6" x14ac:dyDescent="0.35">
      <c r="A302" s="18" t="s">
        <v>663</v>
      </c>
      <c r="B302" s="18" t="s">
        <v>678</v>
      </c>
      <c r="C302" s="18">
        <v>1</v>
      </c>
      <c r="D302" s="19">
        <v>220</v>
      </c>
      <c r="E302" s="19">
        <f>(INVENTARIO!$D302*INVENTARIO!$C302)</f>
        <v>220</v>
      </c>
      <c r="F302" s="20"/>
    </row>
    <row r="303" spans="1:6" x14ac:dyDescent="0.35">
      <c r="A303" s="22" t="s">
        <v>222</v>
      </c>
      <c r="B303" s="22" t="s">
        <v>294</v>
      </c>
      <c r="C303" s="22">
        <v>30</v>
      </c>
      <c r="D303" s="23">
        <v>7</v>
      </c>
      <c r="E303" s="23">
        <f>(INVENTARIO!$D303*INVENTARIO!$C303)</f>
        <v>210</v>
      </c>
      <c r="F303" s="24"/>
    </row>
    <row r="304" spans="1:6" x14ac:dyDescent="0.35">
      <c r="A304" s="18" t="s">
        <v>223</v>
      </c>
      <c r="B304" s="18" t="s">
        <v>295</v>
      </c>
      <c r="C304" s="18">
        <v>33</v>
      </c>
      <c r="D304" s="19">
        <v>7</v>
      </c>
      <c r="E304" s="19">
        <f>(INVENTARIO!$D304*INVENTARIO!$C304)</f>
        <v>231</v>
      </c>
      <c r="F304" s="20"/>
    </row>
    <row r="305" spans="1:6" x14ac:dyDescent="0.35">
      <c r="A305" s="22" t="s">
        <v>885</v>
      </c>
      <c r="B305" s="22" t="s">
        <v>886</v>
      </c>
      <c r="C305" s="22">
        <v>3</v>
      </c>
      <c r="D305" s="23">
        <v>13</v>
      </c>
      <c r="E305" s="23">
        <f>(INVENTARIO!$D305*INVENTARIO!$C305)</f>
        <v>39</v>
      </c>
      <c r="F305" s="24"/>
    </row>
    <row r="306" spans="1:6" s="11" customFormat="1" x14ac:dyDescent="0.35">
      <c r="A306" s="12" t="s">
        <v>673</v>
      </c>
      <c r="B306" s="12" t="s">
        <v>674</v>
      </c>
      <c r="C306" s="12">
        <v>1</v>
      </c>
      <c r="D306" s="13">
        <v>950</v>
      </c>
      <c r="E306" s="13">
        <f>(INVENTARIO!$D306*INVENTARIO!$C306)</f>
        <v>950</v>
      </c>
      <c r="F306" s="21"/>
    </row>
    <row r="307" spans="1:6" s="8" customFormat="1" x14ac:dyDescent="0.35">
      <c r="A307" s="12" t="s">
        <v>4</v>
      </c>
      <c r="B307" s="12" t="s">
        <v>601</v>
      </c>
      <c r="C307" s="12">
        <v>1</v>
      </c>
      <c r="D307" s="13">
        <v>480</v>
      </c>
      <c r="E307" s="13">
        <f>(INVENTARIO!$D307*INVENTARIO!$C307)</f>
        <v>480</v>
      </c>
      <c r="F307" s="21"/>
    </row>
    <row r="308" spans="1:6" s="8" customFormat="1" x14ac:dyDescent="0.35">
      <c r="A308" s="12" t="s">
        <v>5</v>
      </c>
      <c r="B308" s="12" t="s">
        <v>399</v>
      </c>
      <c r="C308" s="12">
        <v>1</v>
      </c>
      <c r="D308" s="13">
        <v>550</v>
      </c>
      <c r="E308" s="13">
        <f>(INVENTARIO!$D308*INVENTARIO!$C308)</f>
        <v>550</v>
      </c>
      <c r="F308" s="21"/>
    </row>
    <row r="309" spans="1:6" x14ac:dyDescent="0.35">
      <c r="A309" s="15" t="s">
        <v>6</v>
      </c>
      <c r="B309" s="15" t="s">
        <v>398</v>
      </c>
      <c r="C309" s="15">
        <v>0</v>
      </c>
      <c r="D309" s="16">
        <v>570</v>
      </c>
      <c r="E309" s="16">
        <f>(INVENTARIO!$D309*INVENTARIO!$C309)</f>
        <v>0</v>
      </c>
      <c r="F309" s="17"/>
    </row>
    <row r="310" spans="1:6" x14ac:dyDescent="0.35">
      <c r="A310" s="18" t="s">
        <v>245</v>
      </c>
      <c r="B310" s="18" t="s">
        <v>306</v>
      </c>
      <c r="C310" s="18">
        <v>11</v>
      </c>
      <c r="D310" s="19">
        <v>7</v>
      </c>
      <c r="E310" s="19">
        <f>(INVENTARIO!$D310*INVENTARIO!$C310)</f>
        <v>77</v>
      </c>
      <c r="F310" s="20"/>
    </row>
    <row r="311" spans="1:6" x14ac:dyDescent="0.35">
      <c r="A311" s="22" t="s">
        <v>242</v>
      </c>
      <c r="B311" s="22" t="s">
        <v>305</v>
      </c>
      <c r="C311" s="22">
        <v>19</v>
      </c>
      <c r="D311" s="23">
        <v>10</v>
      </c>
      <c r="E311" s="23">
        <f>(INVENTARIO!$D311*INVENTARIO!$C311)</f>
        <v>190</v>
      </c>
      <c r="F311" s="24"/>
    </row>
    <row r="312" spans="1:6" s="8" customFormat="1" x14ac:dyDescent="0.35">
      <c r="A312" s="18" t="s">
        <v>454</v>
      </c>
      <c r="B312" s="18" t="s">
        <v>455</v>
      </c>
      <c r="C312" s="18">
        <v>8</v>
      </c>
      <c r="D312" s="19">
        <v>10</v>
      </c>
      <c r="E312" s="19">
        <f>(INVENTARIO!$D312*INVENTARIO!$C312)</f>
        <v>80</v>
      </c>
      <c r="F312" s="20"/>
    </row>
    <row r="313" spans="1:6" x14ac:dyDescent="0.35">
      <c r="A313" s="22" t="s">
        <v>243</v>
      </c>
      <c r="B313" s="22" t="s">
        <v>456</v>
      </c>
      <c r="C313" s="22">
        <v>9</v>
      </c>
      <c r="D313" s="23">
        <v>10</v>
      </c>
      <c r="E313" s="23">
        <f>(INVENTARIO!$D313*INVENTARIO!$C313)</f>
        <v>90</v>
      </c>
      <c r="F313" s="24"/>
    </row>
    <row r="314" spans="1:6" x14ac:dyDescent="0.35">
      <c r="A314" s="18" t="s">
        <v>224</v>
      </c>
      <c r="B314" s="18" t="s">
        <v>504</v>
      </c>
      <c r="C314" s="18">
        <v>2</v>
      </c>
      <c r="D314" s="19">
        <v>18</v>
      </c>
      <c r="E314" s="19">
        <f>(INVENTARIO!$D314*INVENTARIO!$C314)</f>
        <v>36</v>
      </c>
      <c r="F314" s="20"/>
    </row>
    <row r="315" spans="1:6" x14ac:dyDescent="0.35">
      <c r="A315" s="22" t="s">
        <v>214</v>
      </c>
      <c r="B315" s="22" t="s">
        <v>288</v>
      </c>
      <c r="C315" s="22">
        <v>3</v>
      </c>
      <c r="D315" s="23">
        <v>15</v>
      </c>
      <c r="E315" s="23">
        <f>(INVENTARIO!$D315*INVENTARIO!$C315)</f>
        <v>45</v>
      </c>
      <c r="F315" s="24"/>
    </row>
    <row r="316" spans="1:6" s="8" customFormat="1" x14ac:dyDescent="0.35">
      <c r="A316" s="12" t="s">
        <v>212</v>
      </c>
      <c r="B316" s="12" t="s">
        <v>287</v>
      </c>
      <c r="C316" s="12">
        <v>5</v>
      </c>
      <c r="D316" s="13">
        <v>15</v>
      </c>
      <c r="E316" s="13">
        <f>(INVENTARIO!$D316*INVENTARIO!$C316)</f>
        <v>75</v>
      </c>
      <c r="F316" s="21"/>
    </row>
    <row r="317" spans="1:6" s="8" customFormat="1" x14ac:dyDescent="0.35">
      <c r="A317" s="12" t="s">
        <v>213</v>
      </c>
      <c r="B317" s="12" t="s">
        <v>292</v>
      </c>
      <c r="C317" s="12">
        <v>10</v>
      </c>
      <c r="D317" s="13">
        <v>10</v>
      </c>
      <c r="E317" s="13">
        <f>(INVENTARIO!$D317*INVENTARIO!$C317)</f>
        <v>100</v>
      </c>
      <c r="F317" s="24"/>
    </row>
    <row r="318" spans="1:6" s="8" customFormat="1" x14ac:dyDescent="0.35">
      <c r="A318" s="18" t="s">
        <v>215</v>
      </c>
      <c r="B318" s="18" t="s">
        <v>293</v>
      </c>
      <c r="C318" s="18">
        <v>2</v>
      </c>
      <c r="D318" s="19">
        <v>10</v>
      </c>
      <c r="E318" s="19">
        <f>(INVENTARIO!$D318*INVENTARIO!$C318)</f>
        <v>20</v>
      </c>
      <c r="F318" s="20"/>
    </row>
    <row r="319" spans="1:6" x14ac:dyDescent="0.35">
      <c r="A319" s="22" t="s">
        <v>427</v>
      </c>
      <c r="B319" s="22" t="s">
        <v>505</v>
      </c>
      <c r="C319" s="22">
        <v>3</v>
      </c>
      <c r="D319" s="23">
        <v>18</v>
      </c>
      <c r="E319" s="23">
        <f>(INVENTARIO!$D319*INVENTARIO!$C319)</f>
        <v>54</v>
      </c>
      <c r="F319" s="24"/>
    </row>
    <row r="320" spans="1:6" x14ac:dyDescent="0.35">
      <c r="A320" s="15" t="s">
        <v>406</v>
      </c>
      <c r="B320" s="15" t="s">
        <v>407</v>
      </c>
      <c r="C320" s="15">
        <v>0</v>
      </c>
      <c r="D320" s="16">
        <v>30</v>
      </c>
      <c r="E320" s="16">
        <f>(INVENTARIO!$D320*INVENTARIO!$C320)</f>
        <v>0</v>
      </c>
      <c r="F320" s="17"/>
    </row>
    <row r="321" spans="1:6" s="11" customFormat="1" x14ac:dyDescent="0.35">
      <c r="A321" s="22" t="s">
        <v>211</v>
      </c>
      <c r="B321" s="22" t="s">
        <v>296</v>
      </c>
      <c r="C321" s="22">
        <v>9</v>
      </c>
      <c r="D321" s="23">
        <v>6</v>
      </c>
      <c r="E321" s="23">
        <f>(INVENTARIO!$D321*INVENTARIO!$C321)</f>
        <v>54</v>
      </c>
      <c r="F321" s="21"/>
    </row>
    <row r="322" spans="1:6" s="11" customFormat="1" x14ac:dyDescent="0.35">
      <c r="A322" s="12" t="s">
        <v>557</v>
      </c>
      <c r="B322" s="12" t="s">
        <v>993</v>
      </c>
      <c r="C322" s="12">
        <v>1</v>
      </c>
      <c r="D322" s="13">
        <v>180</v>
      </c>
      <c r="E322" s="13">
        <f>(INVENTARIO!$D322*INVENTARIO!$C322)</f>
        <v>180</v>
      </c>
      <c r="F322" s="21"/>
    </row>
    <row r="323" spans="1:6" x14ac:dyDescent="0.35">
      <c r="A323" s="12" t="s">
        <v>558</v>
      </c>
      <c r="B323" s="12" t="s">
        <v>994</v>
      </c>
      <c r="C323" s="12">
        <v>2</v>
      </c>
      <c r="D323" s="13">
        <v>180</v>
      </c>
      <c r="E323" s="13">
        <f>(INVENTARIO!$D323*INVENTARIO!$C323)</f>
        <v>360</v>
      </c>
      <c r="F323" s="21"/>
    </row>
    <row r="324" spans="1:6" s="11" customFormat="1" x14ac:dyDescent="0.35">
      <c r="A324" s="12" t="s">
        <v>690</v>
      </c>
      <c r="B324" s="12" t="s">
        <v>691</v>
      </c>
      <c r="C324" s="12">
        <v>2</v>
      </c>
      <c r="D324" s="13">
        <v>70</v>
      </c>
      <c r="E324" s="13">
        <f>(INVENTARIO!$D324*INVENTARIO!$C324)</f>
        <v>140</v>
      </c>
      <c r="F324" s="21"/>
    </row>
    <row r="325" spans="1:6" s="8" customFormat="1" x14ac:dyDescent="0.35">
      <c r="A325" s="22" t="s">
        <v>624</v>
      </c>
      <c r="B325" s="22" t="s">
        <v>625</v>
      </c>
      <c r="C325" s="22">
        <v>3</v>
      </c>
      <c r="D325" s="23">
        <v>13</v>
      </c>
      <c r="E325" s="23">
        <f>(INVENTARIO!$D325*INVENTARIO!$C325)</f>
        <v>39</v>
      </c>
      <c r="F325" s="24"/>
    </row>
    <row r="326" spans="1:6" s="8" customFormat="1" x14ac:dyDescent="0.35">
      <c r="A326" s="18" t="s">
        <v>989</v>
      </c>
      <c r="B326" s="18" t="s">
        <v>990</v>
      </c>
      <c r="C326" s="18">
        <v>4</v>
      </c>
      <c r="D326" s="19">
        <v>15</v>
      </c>
      <c r="E326" s="19">
        <f>(INVENTARIO!$D326*INVENTARIO!$C326)</f>
        <v>60</v>
      </c>
      <c r="F326" s="20"/>
    </row>
    <row r="327" spans="1:6" s="11" customFormat="1" x14ac:dyDescent="0.35">
      <c r="A327" s="12" t="s">
        <v>318</v>
      </c>
      <c r="B327" s="12" t="s">
        <v>1002</v>
      </c>
      <c r="C327" s="12">
        <v>12</v>
      </c>
      <c r="D327" s="13">
        <v>20</v>
      </c>
      <c r="E327" s="13">
        <f>(INVENTARIO!$D327*INVENTARIO!$C327)</f>
        <v>240</v>
      </c>
      <c r="F327" s="21"/>
    </row>
    <row r="328" spans="1:6" x14ac:dyDescent="0.35">
      <c r="A328" s="12" t="s">
        <v>324</v>
      </c>
      <c r="B328" s="12" t="s">
        <v>1001</v>
      </c>
      <c r="C328" s="12">
        <v>5</v>
      </c>
      <c r="D328" s="13">
        <v>30</v>
      </c>
      <c r="E328" s="13">
        <f>(INVENTARIO!$D328*INVENTARIO!$C328)</f>
        <v>150</v>
      </c>
      <c r="F328" s="21"/>
    </row>
    <row r="329" spans="1:6" x14ac:dyDescent="0.35">
      <c r="A329" s="22" t="s">
        <v>608</v>
      </c>
      <c r="B329" s="22" t="s">
        <v>609</v>
      </c>
      <c r="C329" s="22">
        <v>9</v>
      </c>
      <c r="D329" s="23">
        <v>10</v>
      </c>
      <c r="E329" s="23">
        <f>(INVENTARIO!$D329*INVENTARIO!$C329)</f>
        <v>90</v>
      </c>
      <c r="F329" s="24"/>
    </row>
    <row r="330" spans="1:6" x14ac:dyDescent="0.35">
      <c r="A330" s="18" t="s">
        <v>230</v>
      </c>
      <c r="B330" s="18" t="s">
        <v>301</v>
      </c>
      <c r="C330" s="18">
        <v>4</v>
      </c>
      <c r="D330" s="19">
        <v>12</v>
      </c>
      <c r="E330" s="19">
        <f>(INVENTARIO!$D330*INVENTARIO!$C330)</f>
        <v>48</v>
      </c>
      <c r="F330" s="20"/>
    </row>
    <row r="331" spans="1:6" x14ac:dyDescent="0.35">
      <c r="A331" s="22" t="s">
        <v>227</v>
      </c>
      <c r="B331" s="22" t="s">
        <v>299</v>
      </c>
      <c r="C331" s="22">
        <v>2</v>
      </c>
      <c r="D331" s="23">
        <v>10</v>
      </c>
      <c r="E331" s="23">
        <f>(INVENTARIO!$D331*INVENTARIO!$C331)</f>
        <v>20</v>
      </c>
      <c r="F331" s="24"/>
    </row>
    <row r="332" spans="1:6" s="11" customFormat="1" x14ac:dyDescent="0.35">
      <c r="A332" s="12" t="s">
        <v>400</v>
      </c>
      <c r="B332" s="12" t="s">
        <v>401</v>
      </c>
      <c r="C332" s="12">
        <v>1</v>
      </c>
      <c r="D332" s="13">
        <v>20</v>
      </c>
      <c r="E332" s="13">
        <f>(INVENTARIO!$D332*INVENTARIO!$C332)</f>
        <v>20</v>
      </c>
      <c r="F332" s="21"/>
    </row>
    <row r="333" spans="1:6" x14ac:dyDescent="0.35">
      <c r="A333" s="15" t="s">
        <v>402</v>
      </c>
      <c r="B333" s="15" t="s">
        <v>403</v>
      </c>
      <c r="C333" s="15">
        <v>0</v>
      </c>
      <c r="D333" s="16">
        <v>20</v>
      </c>
      <c r="E333" s="16">
        <f>(INVENTARIO!$D333*INVENTARIO!$C333)</f>
        <v>0</v>
      </c>
      <c r="F333" s="17"/>
    </row>
    <row r="334" spans="1:6" x14ac:dyDescent="0.35">
      <c r="A334" s="12" t="s">
        <v>429</v>
      </c>
      <c r="B334" s="12" t="s">
        <v>430</v>
      </c>
      <c r="C334" s="12">
        <v>1</v>
      </c>
      <c r="D334" s="13">
        <v>65</v>
      </c>
      <c r="E334" s="13">
        <f>(INVENTARIO!$D334*INVENTARIO!$C334)</f>
        <v>65</v>
      </c>
      <c r="F334" s="21"/>
    </row>
    <row r="335" spans="1:6" s="8" customFormat="1" x14ac:dyDescent="0.35">
      <c r="A335" s="15" t="s">
        <v>474</v>
      </c>
      <c r="B335" s="15" t="s">
        <v>503</v>
      </c>
      <c r="C335" s="15">
        <v>0</v>
      </c>
      <c r="D335" s="16">
        <v>110</v>
      </c>
      <c r="E335" s="16">
        <f>(INVENTARIO!$D335*INVENTARIO!$C335)</f>
        <v>0</v>
      </c>
      <c r="F335" s="17"/>
    </row>
    <row r="336" spans="1:6" x14ac:dyDescent="0.35">
      <c r="A336" s="15" t="s">
        <v>506</v>
      </c>
      <c r="B336" s="15" t="s">
        <v>507</v>
      </c>
      <c r="C336" s="15">
        <v>0</v>
      </c>
      <c r="D336" s="16">
        <v>110</v>
      </c>
      <c r="E336" s="16">
        <f>(INVENTARIO!$D336*INVENTARIO!$C336)</f>
        <v>0</v>
      </c>
      <c r="F336" s="17"/>
    </row>
    <row r="337" spans="1:6" x14ac:dyDescent="0.35">
      <c r="A337" s="22" t="s">
        <v>346</v>
      </c>
      <c r="B337" s="22" t="s">
        <v>671</v>
      </c>
      <c r="C337" s="22">
        <v>1</v>
      </c>
      <c r="D337" s="23">
        <v>90</v>
      </c>
      <c r="E337" s="23">
        <f>(INVENTARIO!$D337*INVENTARIO!$C337)</f>
        <v>90</v>
      </c>
      <c r="F337" s="24"/>
    </row>
    <row r="338" spans="1:6" s="11" customFormat="1" x14ac:dyDescent="0.35">
      <c r="A338" s="15" t="s">
        <v>208</v>
      </c>
      <c r="B338" s="15" t="s">
        <v>284</v>
      </c>
      <c r="C338" s="15">
        <v>0</v>
      </c>
      <c r="D338" s="16">
        <v>40</v>
      </c>
      <c r="E338" s="16">
        <f>(INVENTARIO!$D338*INVENTARIO!$C338)</f>
        <v>0</v>
      </c>
      <c r="F338" s="17"/>
    </row>
    <row r="339" spans="1:6" x14ac:dyDescent="0.35">
      <c r="A339" s="22" t="s">
        <v>343</v>
      </c>
      <c r="B339" s="22" t="s">
        <v>342</v>
      </c>
      <c r="C339" s="22">
        <v>2</v>
      </c>
      <c r="D339" s="23">
        <v>40</v>
      </c>
      <c r="E339" s="23">
        <f>(INVENTARIO!$D339*INVENTARIO!$C339)</f>
        <v>80</v>
      </c>
      <c r="F339" s="24"/>
    </row>
    <row r="340" spans="1:6" s="8" customFormat="1" x14ac:dyDescent="0.35">
      <c r="A340" s="18" t="s">
        <v>207</v>
      </c>
      <c r="B340" s="18" t="s">
        <v>283</v>
      </c>
      <c r="C340" s="18">
        <v>3</v>
      </c>
      <c r="D340" s="19">
        <v>35</v>
      </c>
      <c r="E340" s="19">
        <f>(INVENTARIO!$D340*INVENTARIO!$C340)</f>
        <v>105</v>
      </c>
      <c r="F340" s="20"/>
    </row>
    <row r="341" spans="1:6" x14ac:dyDescent="0.35">
      <c r="A341" s="22" t="s">
        <v>205</v>
      </c>
      <c r="B341" s="22" t="s">
        <v>281</v>
      </c>
      <c r="C341" s="22">
        <v>1</v>
      </c>
      <c r="D341" s="23">
        <v>55</v>
      </c>
      <c r="E341" s="23">
        <f>(INVENTARIO!$D341*INVENTARIO!$C341)</f>
        <v>55</v>
      </c>
      <c r="F341" s="24"/>
    </row>
    <row r="342" spans="1:6" s="8" customFormat="1" x14ac:dyDescent="0.35">
      <c r="A342" s="18" t="s">
        <v>450</v>
      </c>
      <c r="B342" s="18" t="s">
        <v>451</v>
      </c>
      <c r="C342" s="18">
        <v>1</v>
      </c>
      <c r="D342" s="19">
        <v>260</v>
      </c>
      <c r="E342" s="19">
        <f>(INVENTARIO!$D342*INVENTARIO!$C342)</f>
        <v>260</v>
      </c>
      <c r="F342" s="20"/>
    </row>
    <row r="343" spans="1:6" s="8" customFormat="1" x14ac:dyDescent="0.35">
      <c r="A343" s="22" t="s">
        <v>452</v>
      </c>
      <c r="B343" s="22" t="s">
        <v>453</v>
      </c>
      <c r="C343" s="22">
        <v>1</v>
      </c>
      <c r="D343" s="23">
        <v>380</v>
      </c>
      <c r="E343" s="23">
        <f>(INVENTARIO!$D343*INVENTARIO!$C343)</f>
        <v>380</v>
      </c>
      <c r="F343" s="24"/>
    </row>
    <row r="344" spans="1:6" s="8" customFormat="1" x14ac:dyDescent="0.35">
      <c r="A344" s="18" t="s">
        <v>971</v>
      </c>
      <c r="B344" s="18" t="s">
        <v>972</v>
      </c>
      <c r="C344" s="18">
        <v>2</v>
      </c>
      <c r="D344" s="19">
        <v>450</v>
      </c>
      <c r="E344" s="19">
        <f>(INVENTARIO!$D344*INVENTARIO!$C344)</f>
        <v>900</v>
      </c>
      <c r="F344" s="20"/>
    </row>
    <row r="345" spans="1:6" s="8" customFormat="1" x14ac:dyDescent="0.35">
      <c r="A345" s="22" t="s">
        <v>945</v>
      </c>
      <c r="B345" s="22" t="s">
        <v>946</v>
      </c>
      <c r="C345" s="22">
        <v>1</v>
      </c>
      <c r="D345" s="23">
        <v>550</v>
      </c>
      <c r="E345" s="23">
        <f>(INVENTARIO!$D345*INVENTARIO!$C345)</f>
        <v>550</v>
      </c>
      <c r="F345" s="24"/>
    </row>
    <row r="346" spans="1:6" s="8" customFormat="1" x14ac:dyDescent="0.35">
      <c r="A346" s="18" t="s">
        <v>861</v>
      </c>
      <c r="B346" s="18" t="s">
        <v>862</v>
      </c>
      <c r="C346" s="18">
        <v>2</v>
      </c>
      <c r="D346" s="19">
        <v>100</v>
      </c>
      <c r="E346" s="19">
        <f>(INVENTARIO!$D346*INVENTARIO!$C346)</f>
        <v>200</v>
      </c>
      <c r="F346" s="20"/>
    </row>
    <row r="347" spans="1:6" x14ac:dyDescent="0.35">
      <c r="A347" s="22" t="s">
        <v>1023</v>
      </c>
      <c r="B347" s="22" t="s">
        <v>1024</v>
      </c>
      <c r="C347" s="22">
        <v>1</v>
      </c>
      <c r="D347" s="23">
        <v>150</v>
      </c>
      <c r="E347" s="23">
        <f>(INVENTARIO!$D347*INVENTARIO!$C347)</f>
        <v>150</v>
      </c>
      <c r="F347" s="24"/>
    </row>
    <row r="348" spans="1:6" x14ac:dyDescent="0.35">
      <c r="A348" s="18" t="s">
        <v>129</v>
      </c>
      <c r="B348" s="18" t="s">
        <v>155</v>
      </c>
      <c r="C348" s="18">
        <v>1</v>
      </c>
      <c r="D348" s="19">
        <v>65</v>
      </c>
      <c r="E348" s="19">
        <f>(INVENTARIO!$D348*INVENTARIO!$C348)</f>
        <v>65</v>
      </c>
      <c r="F348" s="20"/>
    </row>
    <row r="349" spans="1:6" s="11" customFormat="1" x14ac:dyDescent="0.35">
      <c r="A349" s="15" t="s">
        <v>127</v>
      </c>
      <c r="B349" s="15" t="s">
        <v>154</v>
      </c>
      <c r="C349" s="15">
        <v>0</v>
      </c>
      <c r="D349" s="16">
        <v>60</v>
      </c>
      <c r="E349" s="16">
        <f>(INVENTARIO!$D349*INVENTARIO!$C349)</f>
        <v>0</v>
      </c>
      <c r="F349" s="17"/>
    </row>
    <row r="350" spans="1:6" s="8" customFormat="1" x14ac:dyDescent="0.35">
      <c r="A350" s="18" t="s">
        <v>128</v>
      </c>
      <c r="B350" s="18" t="s">
        <v>156</v>
      </c>
      <c r="C350" s="18">
        <v>6</v>
      </c>
      <c r="D350" s="19">
        <v>40</v>
      </c>
      <c r="E350" s="19">
        <f>(INVENTARIO!$D350*INVENTARIO!$C350)</f>
        <v>240</v>
      </c>
      <c r="F350" s="20"/>
    </row>
    <row r="351" spans="1:6" s="8" customFormat="1" x14ac:dyDescent="0.35">
      <c r="A351" s="22" t="s">
        <v>796</v>
      </c>
      <c r="B351" s="22" t="s">
        <v>859</v>
      </c>
      <c r="C351" s="22">
        <v>4</v>
      </c>
      <c r="D351" s="23">
        <v>40</v>
      </c>
      <c r="E351" s="23">
        <f>(INVENTARIO!$D351*INVENTARIO!$C351)</f>
        <v>160</v>
      </c>
      <c r="F351" s="24"/>
    </row>
    <row r="352" spans="1:6" x14ac:dyDescent="0.35">
      <c r="A352" s="18" t="s">
        <v>582</v>
      </c>
      <c r="B352" s="18" t="s">
        <v>585</v>
      </c>
      <c r="C352" s="18">
        <v>1</v>
      </c>
      <c r="D352" s="19">
        <v>15</v>
      </c>
      <c r="E352" s="19">
        <f>(INVENTARIO!$D352*INVENTARIO!$C352)</f>
        <v>15</v>
      </c>
      <c r="F352" s="20"/>
    </row>
    <row r="353" spans="1:6" s="8" customFormat="1" x14ac:dyDescent="0.35">
      <c r="A353" s="22" t="s">
        <v>581</v>
      </c>
      <c r="B353" s="22" t="s">
        <v>584</v>
      </c>
      <c r="C353" s="22">
        <v>1</v>
      </c>
      <c r="D353" s="23">
        <v>25</v>
      </c>
      <c r="E353" s="23">
        <f>(INVENTARIO!$D353*INVENTARIO!$C353)</f>
        <v>25</v>
      </c>
      <c r="F353" s="24"/>
    </row>
    <row r="354" spans="1:6" s="11" customFormat="1" x14ac:dyDescent="0.35">
      <c r="A354" s="18" t="s">
        <v>196</v>
      </c>
      <c r="B354" s="18" t="s">
        <v>619</v>
      </c>
      <c r="C354" s="18">
        <v>8</v>
      </c>
      <c r="D354" s="19">
        <v>80</v>
      </c>
      <c r="E354" s="19">
        <f>(INVENTARIO!$D354*INVENTARIO!$C354)</f>
        <v>640</v>
      </c>
      <c r="F354" s="20"/>
    </row>
    <row r="355" spans="1:6" x14ac:dyDescent="0.35">
      <c r="A355" s="12" t="s">
        <v>8</v>
      </c>
      <c r="B355" s="12" t="s">
        <v>14</v>
      </c>
      <c r="C355" s="12">
        <v>2</v>
      </c>
      <c r="D355" s="13">
        <v>350</v>
      </c>
      <c r="E355" s="13">
        <f>(INVENTARIO!$D355*INVENTARIO!$C355)</f>
        <v>700</v>
      </c>
      <c r="F355" s="21"/>
    </row>
    <row r="356" spans="1:6" x14ac:dyDescent="0.35">
      <c r="A356" s="15" t="s">
        <v>396</v>
      </c>
      <c r="B356" s="15" t="s">
        <v>397</v>
      </c>
      <c r="C356" s="15">
        <v>0</v>
      </c>
      <c r="D356" s="16">
        <v>270</v>
      </c>
      <c r="E356" s="16">
        <f>(INVENTARIO!$D356*INVENTARIO!$C356)</f>
        <v>0</v>
      </c>
      <c r="F356" s="17"/>
    </row>
    <row r="357" spans="1:6" x14ac:dyDescent="0.35">
      <c r="A357" s="22" t="s">
        <v>801</v>
      </c>
      <c r="B357" s="22" t="s">
        <v>802</v>
      </c>
      <c r="C357" s="22">
        <v>2</v>
      </c>
      <c r="D357" s="23">
        <v>40</v>
      </c>
      <c r="E357" s="23">
        <f>(INVENTARIO!$D357*INVENTARIO!$C357)</f>
        <v>80</v>
      </c>
      <c r="F357" s="24"/>
    </row>
    <row r="358" spans="1:6" x14ac:dyDescent="0.35">
      <c r="A358" s="18" t="s">
        <v>163</v>
      </c>
      <c r="B358" s="18" t="s">
        <v>720</v>
      </c>
      <c r="C358" s="18">
        <v>2</v>
      </c>
      <c r="D358" s="19">
        <v>210</v>
      </c>
      <c r="E358" s="19">
        <f>(INVENTARIO!$D358*INVENTARIO!$C358)</f>
        <v>420</v>
      </c>
      <c r="F358" s="20"/>
    </row>
    <row r="359" spans="1:6" s="8" customFormat="1" x14ac:dyDescent="0.35">
      <c r="A359" s="12" t="s">
        <v>162</v>
      </c>
      <c r="B359" s="12" t="s">
        <v>321</v>
      </c>
      <c r="C359" s="12">
        <v>2</v>
      </c>
      <c r="D359" s="13">
        <v>200</v>
      </c>
      <c r="E359" s="13">
        <f>(INVENTARIO!$D359*INVENTARIO!$C359)</f>
        <v>400</v>
      </c>
      <c r="F359" s="21"/>
    </row>
    <row r="360" spans="1:6" x14ac:dyDescent="0.35">
      <c r="A360" s="18" t="s">
        <v>832</v>
      </c>
      <c r="B360" s="18" t="s">
        <v>836</v>
      </c>
      <c r="C360" s="18">
        <v>3</v>
      </c>
      <c r="D360" s="19">
        <v>60</v>
      </c>
      <c r="E360" s="19">
        <f>(INVENTARIO!$D360*INVENTARIO!$C360)</f>
        <v>180</v>
      </c>
      <c r="F360" s="20"/>
    </row>
    <row r="361" spans="1:6" s="8" customFormat="1" x14ac:dyDescent="0.35">
      <c r="A361" s="22" t="s">
        <v>851</v>
      </c>
      <c r="B361" s="22" t="s">
        <v>852</v>
      </c>
      <c r="C361" s="22">
        <v>3</v>
      </c>
      <c r="D361" s="23">
        <v>40</v>
      </c>
      <c r="E361" s="23">
        <f>(INVENTARIO!$D361*INVENTARIO!$C361)</f>
        <v>120</v>
      </c>
      <c r="F361" s="24"/>
    </row>
    <row r="362" spans="1:6" s="8" customFormat="1" x14ac:dyDescent="0.35">
      <c r="A362" s="12" t="s">
        <v>312</v>
      </c>
      <c r="B362" s="12" t="s">
        <v>877</v>
      </c>
      <c r="C362" s="12">
        <v>1</v>
      </c>
      <c r="D362" s="13">
        <v>45</v>
      </c>
      <c r="E362" s="13">
        <f>(INVENTARIO!$D362*INVENTARIO!$C362)</f>
        <v>45</v>
      </c>
      <c r="F362" s="21"/>
    </row>
    <row r="363" spans="1:6" s="8" customFormat="1" x14ac:dyDescent="0.35">
      <c r="A363" s="12" t="s">
        <v>369</v>
      </c>
      <c r="B363" s="12" t="s">
        <v>473</v>
      </c>
      <c r="C363" s="12">
        <v>5</v>
      </c>
      <c r="D363" s="13">
        <v>45</v>
      </c>
      <c r="E363" s="13">
        <f>(INVENTARIO!$D363*INVENTARIO!$C363)</f>
        <v>225</v>
      </c>
      <c r="F363" s="21"/>
    </row>
    <row r="364" spans="1:6" s="8" customFormat="1" x14ac:dyDescent="0.35">
      <c r="A364" s="12" t="s">
        <v>126</v>
      </c>
      <c r="B364" s="12" t="s">
        <v>686</v>
      </c>
      <c r="C364" s="12">
        <v>7</v>
      </c>
      <c r="D364" s="13">
        <v>40</v>
      </c>
      <c r="E364" s="13">
        <f>(INVENTARIO!$D364*INVENTARIO!$C364)</f>
        <v>280</v>
      </c>
      <c r="F364" s="21"/>
    </row>
    <row r="365" spans="1:6" x14ac:dyDescent="0.35">
      <c r="A365" s="12" t="s">
        <v>374</v>
      </c>
      <c r="B365" s="12" t="s">
        <v>711</v>
      </c>
      <c r="C365" s="12">
        <v>3</v>
      </c>
      <c r="D365" s="13">
        <v>85</v>
      </c>
      <c r="E365" s="13">
        <f>(INVENTARIO!$D365*INVENTARIO!$C365)</f>
        <v>255</v>
      </c>
      <c r="F365" s="21"/>
    </row>
    <row r="366" spans="1:6" x14ac:dyDescent="0.35">
      <c r="A366" s="12" t="s">
        <v>98</v>
      </c>
      <c r="B366" s="12" t="s">
        <v>138</v>
      </c>
      <c r="C366" s="12">
        <v>5</v>
      </c>
      <c r="D366" s="13">
        <v>80</v>
      </c>
      <c r="E366" s="13">
        <f>(INVENTARIO!$D366*INVENTARIO!$C366)</f>
        <v>400</v>
      </c>
      <c r="F366" s="21"/>
    </row>
    <row r="367" spans="1:6" x14ac:dyDescent="0.35">
      <c r="A367" s="22" t="s">
        <v>520</v>
      </c>
      <c r="B367" s="22" t="s">
        <v>521</v>
      </c>
      <c r="C367" s="22">
        <v>6</v>
      </c>
      <c r="D367" s="23">
        <v>80</v>
      </c>
      <c r="E367" s="23">
        <f>(INVENTARIO!$D367*INVENTARIO!$C367)</f>
        <v>480</v>
      </c>
      <c r="F367" s="24"/>
    </row>
    <row r="368" spans="1:6" s="8" customFormat="1" x14ac:dyDescent="0.35">
      <c r="A368" s="12" t="s">
        <v>99</v>
      </c>
      <c r="B368" s="12" t="s">
        <v>491</v>
      </c>
      <c r="C368" s="12">
        <v>2</v>
      </c>
      <c r="D368" s="13">
        <v>70</v>
      </c>
      <c r="E368" s="13">
        <f>(INVENTARIO!$D368*INVENTARIO!$C368)</f>
        <v>140</v>
      </c>
      <c r="F368" s="21"/>
    </row>
    <row r="369" spans="1:6" x14ac:dyDescent="0.35">
      <c r="A369" s="22" t="s">
        <v>417</v>
      </c>
      <c r="B369" s="22" t="s">
        <v>418</v>
      </c>
      <c r="C369" s="22">
        <v>1</v>
      </c>
      <c r="D369" s="23">
        <v>120</v>
      </c>
      <c r="E369" s="23">
        <f>(INVENTARIO!$D369*INVENTARIO!$C369)</f>
        <v>120</v>
      </c>
      <c r="F369" s="24"/>
    </row>
    <row r="370" spans="1:6" x14ac:dyDescent="0.35">
      <c r="A370" s="18" t="s">
        <v>1006</v>
      </c>
      <c r="B370" s="18" t="s">
        <v>1007</v>
      </c>
      <c r="C370" s="18">
        <v>2</v>
      </c>
      <c r="D370" s="19">
        <v>110</v>
      </c>
      <c r="E370" s="19">
        <f>(INVENTARIO!$D370*INVENTARIO!$C370)</f>
        <v>220</v>
      </c>
      <c r="F370" s="20"/>
    </row>
    <row r="371" spans="1:6" x14ac:dyDescent="0.35">
      <c r="A371" s="22" t="s">
        <v>822</v>
      </c>
      <c r="B371" s="22" t="s">
        <v>823</v>
      </c>
      <c r="C371" s="22">
        <v>4</v>
      </c>
      <c r="D371" s="23">
        <v>30</v>
      </c>
      <c r="E371" s="23">
        <f>(INVENTARIO!$D371*INVENTARIO!$C371)</f>
        <v>120</v>
      </c>
      <c r="F371" s="24"/>
    </row>
    <row r="372" spans="1:6" x14ac:dyDescent="0.35">
      <c r="A372" s="12" t="s">
        <v>125</v>
      </c>
      <c r="B372" s="12" t="s">
        <v>153</v>
      </c>
      <c r="C372" s="12">
        <v>6</v>
      </c>
      <c r="D372" s="13">
        <v>30</v>
      </c>
      <c r="E372" s="13">
        <f>(INVENTARIO!$D372*INVENTARIO!$C372)</f>
        <v>180</v>
      </c>
      <c r="F372" s="21"/>
    </row>
    <row r="373" spans="1:6" s="8" customFormat="1" x14ac:dyDescent="0.35">
      <c r="A373" s="22" t="s">
        <v>1057</v>
      </c>
      <c r="B373" s="22" t="s">
        <v>1058</v>
      </c>
      <c r="C373" s="22">
        <v>1</v>
      </c>
      <c r="D373" s="23">
        <v>330</v>
      </c>
      <c r="E373" s="23">
        <f>(INVENTARIO!$D373*INVENTARIO!$C373)</f>
        <v>330</v>
      </c>
      <c r="F373" s="24"/>
    </row>
    <row r="374" spans="1:6" x14ac:dyDescent="0.35">
      <c r="A374" s="12" t="s">
        <v>889</v>
      </c>
      <c r="B374" s="12" t="s">
        <v>890</v>
      </c>
      <c r="C374" s="12">
        <v>1</v>
      </c>
      <c r="D374" s="13">
        <v>350</v>
      </c>
      <c r="E374" s="13">
        <f>(INVENTARIO!$D374*INVENTARIO!$C374)</f>
        <v>350</v>
      </c>
      <c r="F374" s="21"/>
    </row>
    <row r="375" spans="1:6" x14ac:dyDescent="0.35">
      <c r="A375" s="22" t="s">
        <v>782</v>
      </c>
      <c r="B375" s="22" t="s">
        <v>865</v>
      </c>
      <c r="C375" s="22">
        <v>2</v>
      </c>
      <c r="D375" s="23">
        <v>35</v>
      </c>
      <c r="E375" s="23">
        <f>(INVENTARIO!$D375*INVENTARIO!$C375)</f>
        <v>70</v>
      </c>
      <c r="F375" s="24"/>
    </row>
    <row r="376" spans="1:6" s="8" customFormat="1" x14ac:dyDescent="0.35">
      <c r="A376" s="18" t="s">
        <v>123</v>
      </c>
      <c r="B376" s="18" t="s">
        <v>151</v>
      </c>
      <c r="C376" s="18">
        <v>7</v>
      </c>
      <c r="D376" s="19">
        <v>15</v>
      </c>
      <c r="E376" s="19">
        <f>(INVENTARIO!$D376*INVENTARIO!$C376)</f>
        <v>105</v>
      </c>
      <c r="F376" s="20"/>
    </row>
    <row r="377" spans="1:6" s="8" customFormat="1" x14ac:dyDescent="0.35">
      <c r="A377" s="22" t="s">
        <v>96</v>
      </c>
      <c r="B377" s="22" t="s">
        <v>137</v>
      </c>
      <c r="C377" s="22">
        <v>3</v>
      </c>
      <c r="D377" s="23">
        <v>55</v>
      </c>
      <c r="E377" s="23">
        <f>(INVENTARIO!$D377*INVENTARIO!$C377)</f>
        <v>165</v>
      </c>
      <c r="F377" s="24"/>
    </row>
    <row r="378" spans="1:6" x14ac:dyDescent="0.35">
      <c r="A378" s="18" t="s">
        <v>723</v>
      </c>
      <c r="B378" s="18" t="s">
        <v>799</v>
      </c>
      <c r="C378" s="18">
        <v>2</v>
      </c>
      <c r="D378" s="19">
        <v>50</v>
      </c>
      <c r="E378" s="19">
        <f>(INVENTARIO!$D378*INVENTARIO!$C378)</f>
        <v>100</v>
      </c>
      <c r="F378" s="20"/>
    </row>
    <row r="379" spans="1:6" x14ac:dyDescent="0.35">
      <c r="A379" s="12" t="s">
        <v>622</v>
      </c>
      <c r="B379" s="12" t="s">
        <v>623</v>
      </c>
      <c r="C379" s="12">
        <v>10</v>
      </c>
      <c r="D379" s="13">
        <v>15</v>
      </c>
      <c r="E379" s="13">
        <f>(INVENTARIO!$D379*INVENTARIO!$C379)</f>
        <v>150</v>
      </c>
      <c r="F379" s="21"/>
    </row>
    <row r="380" spans="1:6" s="11" customFormat="1" x14ac:dyDescent="0.35">
      <c r="A380" s="18" t="s">
        <v>577</v>
      </c>
      <c r="B380" s="18" t="s">
        <v>579</v>
      </c>
      <c r="C380" s="18">
        <v>2</v>
      </c>
      <c r="D380" s="19">
        <v>20</v>
      </c>
      <c r="E380" s="19">
        <f>(INVENTARIO!$D380*INVENTARIO!$C380)</f>
        <v>40</v>
      </c>
      <c r="F380" s="20"/>
    </row>
    <row r="381" spans="1:6" x14ac:dyDescent="0.35">
      <c r="A381" s="22" t="s">
        <v>912</v>
      </c>
      <c r="B381" s="22" t="s">
        <v>920</v>
      </c>
      <c r="C381" s="22">
        <v>2</v>
      </c>
      <c r="D381" s="23">
        <v>10</v>
      </c>
      <c r="E381" s="23">
        <f>(INVENTARIO!$D381*INVENTARIO!$C381)</f>
        <v>20</v>
      </c>
      <c r="F381" s="24"/>
    </row>
    <row r="382" spans="1:6" s="8" customFormat="1" x14ac:dyDescent="0.35">
      <c r="A382" s="12" t="s">
        <v>52</v>
      </c>
      <c r="B382" s="12" t="s">
        <v>547</v>
      </c>
      <c r="C382" s="12">
        <v>4</v>
      </c>
      <c r="D382" s="13">
        <v>30</v>
      </c>
      <c r="E382" s="13">
        <f>(INVENTARIO!$D382*INVENTARIO!$C382)</f>
        <v>120</v>
      </c>
      <c r="F382" s="21"/>
    </row>
    <row r="383" spans="1:6" x14ac:dyDescent="0.35">
      <c r="A383" s="12" t="s">
        <v>54</v>
      </c>
      <c r="B383" s="12" t="s">
        <v>548</v>
      </c>
      <c r="C383" s="12">
        <v>3</v>
      </c>
      <c r="D383" s="13">
        <v>50</v>
      </c>
      <c r="E383" s="13">
        <f>(INVENTARIO!$D383*INVENTARIO!$C383)</f>
        <v>150</v>
      </c>
      <c r="F383" s="21"/>
    </row>
    <row r="384" spans="1:6" x14ac:dyDescent="0.35">
      <c r="A384" s="18" t="s">
        <v>373</v>
      </c>
      <c r="B384" s="18" t="s">
        <v>564</v>
      </c>
      <c r="C384" s="18">
        <v>2</v>
      </c>
      <c r="D384" s="19">
        <v>25</v>
      </c>
      <c r="E384" s="19">
        <f>(INVENTARIO!$D384*INVENTARIO!$C384)</f>
        <v>50</v>
      </c>
      <c r="F384" s="20"/>
    </row>
    <row r="385" spans="1:6" s="8" customFormat="1" x14ac:dyDescent="0.35">
      <c r="A385" s="12" t="s">
        <v>50</v>
      </c>
      <c r="B385" s="12" t="s">
        <v>53</v>
      </c>
      <c r="C385" s="12">
        <v>2</v>
      </c>
      <c r="D385" s="13">
        <v>70</v>
      </c>
      <c r="E385" s="13">
        <f>(INVENTARIO!$D385*INVENTARIO!$C385)</f>
        <v>140</v>
      </c>
      <c r="F385" s="21"/>
    </row>
    <row r="386" spans="1:6" x14ac:dyDescent="0.35">
      <c r="A386" s="18" t="s">
        <v>374</v>
      </c>
      <c r="B386" s="18" t="s">
        <v>565</v>
      </c>
      <c r="C386" s="18">
        <v>1</v>
      </c>
      <c r="D386" s="19">
        <v>30</v>
      </c>
      <c r="E386" s="19">
        <f>(INVENTARIO!$D386*INVENTARIO!$C386)</f>
        <v>30</v>
      </c>
      <c r="F386" s="20"/>
    </row>
    <row r="387" spans="1:6" s="8" customFormat="1" x14ac:dyDescent="0.35">
      <c r="A387" s="22" t="s">
        <v>428</v>
      </c>
      <c r="B387" s="22" t="s">
        <v>880</v>
      </c>
      <c r="C387" s="22">
        <v>16</v>
      </c>
      <c r="D387" s="23">
        <v>7</v>
      </c>
      <c r="E387" s="23">
        <f>(INVENTARIO!$D387*INVENTARIO!$C387)</f>
        <v>112</v>
      </c>
      <c r="F387" s="24"/>
    </row>
    <row r="388" spans="1:6" s="11" customFormat="1" x14ac:dyDescent="0.35">
      <c r="A388" s="15" t="s">
        <v>244</v>
      </c>
      <c r="B388" s="15" t="s">
        <v>741</v>
      </c>
      <c r="C388" s="15">
        <v>0</v>
      </c>
      <c r="D388" s="16">
        <v>30</v>
      </c>
      <c r="E388" s="16">
        <f>(INVENTARIO!$D388*INVENTARIO!$C388)</f>
        <v>0</v>
      </c>
      <c r="F388" s="17"/>
    </row>
    <row r="389" spans="1:6" x14ac:dyDescent="0.35">
      <c r="A389" s="22" t="s">
        <v>906</v>
      </c>
      <c r="B389" s="22" t="s">
        <v>907</v>
      </c>
      <c r="C389" s="22">
        <v>6</v>
      </c>
      <c r="D389" s="23">
        <v>20</v>
      </c>
      <c r="E389" s="23">
        <f>(INVENTARIO!$D389*INVENTARIO!$C389)</f>
        <v>120</v>
      </c>
      <c r="F389" s="24"/>
    </row>
    <row r="390" spans="1:6" x14ac:dyDescent="0.35">
      <c r="A390" s="18" t="s">
        <v>843</v>
      </c>
      <c r="B390" s="18" t="s">
        <v>847</v>
      </c>
      <c r="C390" s="18">
        <v>4</v>
      </c>
      <c r="D390" s="19">
        <v>10</v>
      </c>
      <c r="E390" s="19">
        <f>(INVENTARIO!$D390*INVENTARIO!$C390)</f>
        <v>40</v>
      </c>
      <c r="F390" s="20"/>
    </row>
    <row r="391" spans="1:6" s="8" customFormat="1" x14ac:dyDescent="0.35">
      <c r="A391" s="22" t="s">
        <v>359</v>
      </c>
      <c r="B391" s="22" t="s">
        <v>360</v>
      </c>
      <c r="C391" s="22">
        <v>12</v>
      </c>
      <c r="D391" s="23">
        <v>10</v>
      </c>
      <c r="E391" s="23">
        <f>(INVENTARIO!$D391*INVENTARIO!$C391)</f>
        <v>120</v>
      </c>
      <c r="F391" s="24"/>
    </row>
    <row r="392" spans="1:6" s="11" customFormat="1" x14ac:dyDescent="0.35">
      <c r="A392" s="18" t="s">
        <v>59</v>
      </c>
      <c r="B392" s="18" t="s">
        <v>63</v>
      </c>
      <c r="C392" s="18">
        <v>26</v>
      </c>
      <c r="D392" s="19">
        <v>5</v>
      </c>
      <c r="E392" s="19">
        <f>(INVENTARIO!$D392*INVENTARIO!$C392)</f>
        <v>130</v>
      </c>
      <c r="F392" s="20"/>
    </row>
    <row r="393" spans="1:6" x14ac:dyDescent="0.35">
      <c r="A393" s="22" t="s">
        <v>844</v>
      </c>
      <c r="B393" s="22" t="s">
        <v>848</v>
      </c>
      <c r="C393" s="22">
        <v>4</v>
      </c>
      <c r="D393" s="23">
        <v>18</v>
      </c>
      <c r="E393" s="23">
        <f>(INVENTARIO!$D393*INVENTARIO!$C393)</f>
        <v>72</v>
      </c>
      <c r="F393" s="24"/>
    </row>
    <row r="394" spans="1:6" s="8" customFormat="1" x14ac:dyDescent="0.35">
      <c r="A394" s="18" t="s">
        <v>347</v>
      </c>
      <c r="B394" s="18" t="s">
        <v>655</v>
      </c>
      <c r="C394" s="18">
        <v>16</v>
      </c>
      <c r="D394" s="19">
        <v>8</v>
      </c>
      <c r="E394" s="19">
        <f>(INVENTARIO!$D394*INVENTARIO!$C394)</f>
        <v>128</v>
      </c>
      <c r="F394" s="20"/>
    </row>
    <row r="395" spans="1:6" x14ac:dyDescent="0.35">
      <c r="A395" s="12" t="s">
        <v>55</v>
      </c>
      <c r="B395" s="12" t="s">
        <v>740</v>
      </c>
      <c r="C395" s="12">
        <v>9</v>
      </c>
      <c r="D395" s="13">
        <v>20</v>
      </c>
      <c r="E395" s="13">
        <f>(INVENTARIO!$D395*INVENTARIO!$C395)</f>
        <v>180</v>
      </c>
      <c r="F395" s="21"/>
    </row>
    <row r="396" spans="1:6" x14ac:dyDescent="0.35">
      <c r="A396" s="12" t="s">
        <v>56</v>
      </c>
      <c r="B396" s="12" t="s">
        <v>57</v>
      </c>
      <c r="C396" s="12">
        <v>3</v>
      </c>
      <c r="D396" s="13">
        <v>15</v>
      </c>
      <c r="E396" s="13">
        <f>(INVENTARIO!$D396*INVENTARIO!$C396)</f>
        <v>45</v>
      </c>
      <c r="F396" s="21"/>
    </row>
    <row r="397" spans="1:6" s="8" customFormat="1" x14ac:dyDescent="0.35">
      <c r="A397" s="12" t="s">
        <v>58</v>
      </c>
      <c r="B397" s="12" t="s">
        <v>62</v>
      </c>
      <c r="C397" s="12">
        <v>7</v>
      </c>
      <c r="D397" s="13">
        <v>25</v>
      </c>
      <c r="E397" s="13">
        <f>(INVENTARIO!$D397*INVENTARIO!$C397)</f>
        <v>175</v>
      </c>
      <c r="F397" s="21"/>
    </row>
    <row r="398" spans="1:6" s="11" customFormat="1" x14ac:dyDescent="0.35">
      <c r="A398" s="18" t="s">
        <v>897</v>
      </c>
      <c r="B398" s="18" t="s">
        <v>932</v>
      </c>
      <c r="C398" s="18">
        <v>8</v>
      </c>
      <c r="D398" s="19">
        <v>25</v>
      </c>
      <c r="E398" s="19">
        <f>(INVENTARIO!$D398*INVENTARIO!$C398)</f>
        <v>200</v>
      </c>
      <c r="F398" s="20"/>
    </row>
    <row r="399" spans="1:6" s="8" customFormat="1" x14ac:dyDescent="0.35">
      <c r="A399" s="22" t="s">
        <v>61</v>
      </c>
      <c r="B399" s="22" t="s">
        <v>546</v>
      </c>
      <c r="C399" s="22">
        <v>5</v>
      </c>
      <c r="D399" s="23">
        <v>10</v>
      </c>
      <c r="E399" s="23">
        <f>(INVENTARIO!$D399*INVENTARIO!$C399)</f>
        <v>50</v>
      </c>
      <c r="F399" s="24"/>
    </row>
    <row r="400" spans="1:6" s="8" customFormat="1" x14ac:dyDescent="0.35">
      <c r="A400" s="18" t="s">
        <v>511</v>
      </c>
      <c r="B400" s="18" t="s">
        <v>510</v>
      </c>
      <c r="C400" s="18">
        <v>4</v>
      </c>
      <c r="D400" s="19">
        <v>8</v>
      </c>
      <c r="E400" s="19">
        <f>(INVENTARIO!$D400*INVENTARIO!$C400)</f>
        <v>32</v>
      </c>
      <c r="F400" s="20"/>
    </row>
    <row r="401" spans="1:6" x14ac:dyDescent="0.35">
      <c r="A401" s="22" t="s">
        <v>508</v>
      </c>
      <c r="B401" s="22" t="s">
        <v>509</v>
      </c>
      <c r="C401" s="22">
        <v>4</v>
      </c>
      <c r="D401" s="23">
        <v>9</v>
      </c>
      <c r="E401" s="23">
        <f>(INVENTARIO!$D401*INVENTARIO!$C401)</f>
        <v>36</v>
      </c>
      <c r="F401" s="24"/>
    </row>
    <row r="402" spans="1:6" x14ac:dyDescent="0.35">
      <c r="A402" s="12" t="s">
        <v>571</v>
      </c>
      <c r="B402" s="12" t="s">
        <v>654</v>
      </c>
      <c r="C402" s="12">
        <v>13</v>
      </c>
      <c r="D402" s="13">
        <v>8</v>
      </c>
      <c r="E402" s="13">
        <f>(INVENTARIO!$D402*INVENTARIO!$C402)</f>
        <v>104</v>
      </c>
      <c r="F402" s="21"/>
    </row>
    <row r="403" spans="1:6" s="8" customFormat="1" x14ac:dyDescent="0.35">
      <c r="A403" s="12" t="s">
        <v>60</v>
      </c>
      <c r="B403" s="12" t="s">
        <v>64</v>
      </c>
      <c r="C403" s="12">
        <v>8</v>
      </c>
      <c r="D403" s="13">
        <v>25</v>
      </c>
      <c r="E403" s="13">
        <f>(INVENTARIO!$D403*INVENTARIO!$C403)</f>
        <v>200</v>
      </c>
      <c r="F403" s="21"/>
    </row>
    <row r="404" spans="1:6" x14ac:dyDescent="0.35">
      <c r="A404" s="12" t="s">
        <v>431</v>
      </c>
      <c r="B404" s="12" t="s">
        <v>432</v>
      </c>
      <c r="C404" s="12">
        <v>1</v>
      </c>
      <c r="D404" s="13">
        <v>40</v>
      </c>
      <c r="E404" s="13">
        <f>(INVENTARIO!$D404*INVENTARIO!$C404)</f>
        <v>40</v>
      </c>
      <c r="F404" s="21"/>
    </row>
    <row r="405" spans="1:6" s="8" customFormat="1" x14ac:dyDescent="0.35">
      <c r="A405" s="22" t="s">
        <v>523</v>
      </c>
      <c r="B405" s="22" t="s">
        <v>524</v>
      </c>
      <c r="C405" s="22">
        <v>4</v>
      </c>
      <c r="D405" s="23">
        <v>25</v>
      </c>
      <c r="E405" s="23">
        <f>(INVENTARIO!$D405*INVENTARIO!$C405)</f>
        <v>100</v>
      </c>
      <c r="F405" s="24"/>
    </row>
    <row r="406" spans="1:6" x14ac:dyDescent="0.35">
      <c r="A406" s="18" t="s">
        <v>572</v>
      </c>
      <c r="B406" s="18" t="s">
        <v>576</v>
      </c>
      <c r="C406" s="18">
        <v>2</v>
      </c>
      <c r="D406" s="19">
        <v>15</v>
      </c>
      <c r="E406" s="19">
        <f>(INVENTARIO!$D406*INVENTARIO!$C406)</f>
        <v>30</v>
      </c>
      <c r="F406" s="20"/>
    </row>
    <row r="407" spans="1:6" s="8" customFormat="1" x14ac:dyDescent="0.35">
      <c r="A407" s="12" t="s">
        <v>75</v>
      </c>
      <c r="B407" s="12" t="s">
        <v>79</v>
      </c>
      <c r="C407" s="12">
        <v>11</v>
      </c>
      <c r="D407" s="13">
        <v>12</v>
      </c>
      <c r="E407" s="13">
        <f>(INVENTARIO!$D407*INVENTARIO!$C407)</f>
        <v>132</v>
      </c>
      <c r="F407" s="21"/>
    </row>
    <row r="408" spans="1:6" x14ac:dyDescent="0.35">
      <c r="A408" s="12" t="s">
        <v>116</v>
      </c>
      <c r="B408" s="12" t="s">
        <v>724</v>
      </c>
      <c r="C408" s="12">
        <v>1</v>
      </c>
      <c r="D408" s="13">
        <v>55</v>
      </c>
      <c r="E408" s="13">
        <f>(INVENTARIO!$D408*INVENTARIO!$C408)</f>
        <v>55</v>
      </c>
      <c r="F408" s="21"/>
    </row>
    <row r="409" spans="1:6" x14ac:dyDescent="0.35">
      <c r="A409" s="15" t="s">
        <v>709</v>
      </c>
      <c r="B409" s="15" t="s">
        <v>707</v>
      </c>
      <c r="C409" s="15">
        <v>0</v>
      </c>
      <c r="D409" s="16">
        <v>40</v>
      </c>
      <c r="E409" s="16">
        <f>(INVENTARIO!$D409*INVENTARIO!$C409)</f>
        <v>0</v>
      </c>
      <c r="F409" s="17"/>
    </row>
    <row r="410" spans="1:6" x14ac:dyDescent="0.35">
      <c r="A410" s="18" t="s">
        <v>703</v>
      </c>
      <c r="B410" s="18" t="s">
        <v>708</v>
      </c>
      <c r="C410" s="18">
        <v>2</v>
      </c>
      <c r="D410" s="19">
        <v>50</v>
      </c>
      <c r="E410" s="19">
        <f>(INVENTARIO!$D410*INVENTARIO!$C410)</f>
        <v>100</v>
      </c>
      <c r="F410" s="20"/>
    </row>
    <row r="411" spans="1:6" s="8" customFormat="1" x14ac:dyDescent="0.35">
      <c r="A411" s="22" t="s">
        <v>746</v>
      </c>
      <c r="B411" s="22" t="s">
        <v>747</v>
      </c>
      <c r="C411" s="22">
        <v>3</v>
      </c>
      <c r="D411" s="23">
        <v>15</v>
      </c>
      <c r="E411" s="23">
        <f>(INVENTARIO!$D411*INVENTARIO!$C411)</f>
        <v>45</v>
      </c>
      <c r="F411" s="24"/>
    </row>
    <row r="412" spans="1:6" x14ac:dyDescent="0.35">
      <c r="A412" s="18" t="s">
        <v>744</v>
      </c>
      <c r="B412" s="18" t="s">
        <v>745</v>
      </c>
      <c r="C412" s="18">
        <v>3</v>
      </c>
      <c r="D412" s="19">
        <v>12</v>
      </c>
      <c r="E412" s="19">
        <f>(INVENTARIO!$D412*INVENTARIO!$C412)</f>
        <v>36</v>
      </c>
      <c r="F412" s="20"/>
    </row>
    <row r="413" spans="1:6" x14ac:dyDescent="0.35">
      <c r="A413" s="12" t="s">
        <v>117</v>
      </c>
      <c r="B413" s="12" t="s">
        <v>753</v>
      </c>
      <c r="C413" s="12">
        <v>2</v>
      </c>
      <c r="D413" s="13">
        <v>25</v>
      </c>
      <c r="E413" s="13">
        <f>(INVENTARIO!$D413*INVENTARIO!$C413)</f>
        <v>50</v>
      </c>
      <c r="F413" s="21"/>
    </row>
    <row r="414" spans="1:6" x14ac:dyDescent="0.35">
      <c r="A414" s="12" t="s">
        <v>115</v>
      </c>
      <c r="B414" s="12" t="s">
        <v>147</v>
      </c>
      <c r="C414" s="12">
        <v>1</v>
      </c>
      <c r="D414" s="13">
        <v>60</v>
      </c>
      <c r="E414" s="13">
        <f>(INVENTARIO!$D414*INVENTARIO!$C414)</f>
        <v>60</v>
      </c>
      <c r="F414" s="21"/>
    </row>
    <row r="415" spans="1:6" x14ac:dyDescent="0.35">
      <c r="A415" s="22" t="s">
        <v>114</v>
      </c>
      <c r="B415" s="22" t="s">
        <v>146</v>
      </c>
      <c r="C415" s="22">
        <v>2</v>
      </c>
      <c r="D415" s="23">
        <v>65</v>
      </c>
      <c r="E415" s="23">
        <f>(INVENTARIO!$D415*INVENTARIO!$C415)</f>
        <v>130</v>
      </c>
      <c r="F415" s="24"/>
    </row>
    <row r="416" spans="1:6" x14ac:dyDescent="0.35">
      <c r="A416" s="18" t="s">
        <v>334</v>
      </c>
      <c r="B416" s="18" t="s">
        <v>808</v>
      </c>
      <c r="C416" s="18">
        <v>2</v>
      </c>
      <c r="D416" s="19">
        <v>30</v>
      </c>
      <c r="E416" s="19">
        <f>(INVENTARIO!$D416*INVENTARIO!$C416)</f>
        <v>60</v>
      </c>
      <c r="F416" s="20"/>
    </row>
    <row r="417" spans="1:6" x14ac:dyDescent="0.35">
      <c r="A417" s="22" t="s">
        <v>976</v>
      </c>
      <c r="B417" s="22" t="s">
        <v>981</v>
      </c>
      <c r="C417" s="22">
        <v>2</v>
      </c>
      <c r="D417" s="23">
        <v>40</v>
      </c>
      <c r="E417" s="23">
        <f>(INVENTARIO!$D417*INVENTARIO!$C417)</f>
        <v>80</v>
      </c>
      <c r="F417" s="24"/>
    </row>
    <row r="418" spans="1:6" x14ac:dyDescent="0.35">
      <c r="A418" s="18" t="s">
        <v>967</v>
      </c>
      <c r="B418" s="18" t="s">
        <v>980</v>
      </c>
      <c r="C418" s="18">
        <v>1</v>
      </c>
      <c r="D418" s="19">
        <v>60</v>
      </c>
      <c r="E418" s="19">
        <f>(INVENTARIO!$D418*INVENTARIO!$C418)</f>
        <v>60</v>
      </c>
      <c r="F418" s="20"/>
    </row>
    <row r="419" spans="1:6" s="11" customFormat="1" x14ac:dyDescent="0.35">
      <c r="A419" s="22" t="s">
        <v>977</v>
      </c>
      <c r="B419" s="22" t="s">
        <v>982</v>
      </c>
      <c r="C419" s="22">
        <v>2</v>
      </c>
      <c r="D419" s="23">
        <v>50</v>
      </c>
      <c r="E419" s="23">
        <f>(INVENTARIO!$D419*INVENTARIO!$C419)</f>
        <v>100</v>
      </c>
      <c r="F419" s="24"/>
    </row>
    <row r="420" spans="1:6" x14ac:dyDescent="0.35">
      <c r="A420" s="18" t="s">
        <v>1030</v>
      </c>
      <c r="B420" s="18" t="s">
        <v>1031</v>
      </c>
      <c r="C420" s="18">
        <v>1</v>
      </c>
      <c r="D420" s="19">
        <v>55</v>
      </c>
      <c r="E420" s="19">
        <f>(INVENTARIO!$D420*INVENTARIO!$C420)</f>
        <v>55</v>
      </c>
      <c r="F420" s="20"/>
    </row>
    <row r="421" spans="1:6" x14ac:dyDescent="0.35">
      <c r="A421" s="22" t="s">
        <v>794</v>
      </c>
      <c r="B421" s="22" t="s">
        <v>795</v>
      </c>
      <c r="C421" s="22">
        <v>1</v>
      </c>
      <c r="D421" s="23">
        <v>80</v>
      </c>
      <c r="E421" s="23">
        <f>(INVENTARIO!$D421*INVENTARIO!$C421)</f>
        <v>80</v>
      </c>
      <c r="F421" s="24"/>
    </row>
    <row r="422" spans="1:6" x14ac:dyDescent="0.35">
      <c r="A422" s="18" t="s">
        <v>525</v>
      </c>
      <c r="B422" s="18" t="s">
        <v>529</v>
      </c>
      <c r="C422" s="18">
        <v>1</v>
      </c>
      <c r="D422" s="19">
        <v>130</v>
      </c>
      <c r="E422" s="19">
        <f>(INVENTARIO!$D422*INVENTARIO!$C422)</f>
        <v>130</v>
      </c>
      <c r="F422" s="20"/>
    </row>
    <row r="423" spans="1:6" x14ac:dyDescent="0.35">
      <c r="A423" s="22" t="s">
        <v>526</v>
      </c>
      <c r="B423" s="22" t="s">
        <v>530</v>
      </c>
      <c r="C423" s="22">
        <v>1</v>
      </c>
      <c r="D423" s="23">
        <v>175</v>
      </c>
      <c r="E423" s="23">
        <f>(INVENTARIO!$D423*INVENTARIO!$C423)</f>
        <v>175</v>
      </c>
      <c r="F423" s="24"/>
    </row>
    <row r="424" spans="1:6" s="11" customFormat="1" x14ac:dyDescent="0.35">
      <c r="A424" s="18" t="s">
        <v>527</v>
      </c>
      <c r="B424" s="18" t="s">
        <v>531</v>
      </c>
      <c r="C424" s="18">
        <v>1</v>
      </c>
      <c r="D424" s="19">
        <v>115</v>
      </c>
      <c r="E424" s="19">
        <f>(INVENTARIO!$D424*INVENTARIO!$C424)</f>
        <v>115</v>
      </c>
      <c r="F424" s="20"/>
    </row>
    <row r="425" spans="1:6" x14ac:dyDescent="0.35">
      <c r="A425" s="22" t="s">
        <v>532</v>
      </c>
      <c r="B425" s="22" t="s">
        <v>533</v>
      </c>
      <c r="C425" s="22">
        <v>1</v>
      </c>
      <c r="D425" s="23">
        <v>130</v>
      </c>
      <c r="E425" s="23">
        <f>(INVENTARIO!$D425*INVENTARIO!$C425)</f>
        <v>130</v>
      </c>
      <c r="F425" s="24"/>
    </row>
    <row r="426" spans="1:6" x14ac:dyDescent="0.35">
      <c r="A426" s="18" t="s">
        <v>478</v>
      </c>
      <c r="B426" s="18" t="s">
        <v>479</v>
      </c>
      <c r="C426" s="18">
        <v>1</v>
      </c>
      <c r="D426" s="19">
        <v>30</v>
      </c>
      <c r="E426" s="19">
        <f>(INVENTARIO!$D426*INVENTARIO!$C426)</f>
        <v>30</v>
      </c>
      <c r="F426" s="20"/>
    </row>
    <row r="427" spans="1:6" x14ac:dyDescent="0.35">
      <c r="A427" s="12" t="s">
        <v>111</v>
      </c>
      <c r="B427" s="12" t="s">
        <v>786</v>
      </c>
      <c r="C427" s="12">
        <v>1</v>
      </c>
      <c r="D427" s="13">
        <v>80</v>
      </c>
      <c r="E427" s="13">
        <f>(INVENTARIO!$D427*INVENTARIO!$C427)</f>
        <v>80</v>
      </c>
      <c r="F427" s="21"/>
    </row>
    <row r="428" spans="1:6" x14ac:dyDescent="0.35">
      <c r="A428" s="18" t="s">
        <v>109</v>
      </c>
      <c r="B428" s="18" t="s">
        <v>142</v>
      </c>
      <c r="C428" s="18">
        <v>3</v>
      </c>
      <c r="D428" s="19">
        <v>30</v>
      </c>
      <c r="E428" s="19">
        <f>(INVENTARIO!$D428*INVENTARIO!$C428)</f>
        <v>90</v>
      </c>
      <c r="F428" s="20"/>
    </row>
    <row r="429" spans="1:6" x14ac:dyDescent="0.35">
      <c r="A429" s="37" t="s">
        <v>110</v>
      </c>
      <c r="B429" s="38" t="s">
        <v>143</v>
      </c>
      <c r="C429" s="37">
        <v>3</v>
      </c>
      <c r="D429" s="39">
        <v>40</v>
      </c>
      <c r="E429" s="39">
        <f>(INVENTARIO!$D429*INVENTARIO!$C429)</f>
        <v>120</v>
      </c>
      <c r="F429" s="40"/>
    </row>
    <row r="430" spans="1:6" x14ac:dyDescent="0.35">
      <c r="A430" s="12" t="s">
        <v>119</v>
      </c>
      <c r="B430" s="12" t="s">
        <v>807</v>
      </c>
      <c r="C430" s="12">
        <v>1</v>
      </c>
      <c r="D430" s="13">
        <v>45</v>
      </c>
      <c r="E430" s="13">
        <f>(INVENTARIO!$D430*INVENTARIO!$C430)</f>
        <v>45</v>
      </c>
      <c r="F430" s="21"/>
    </row>
    <row r="431" spans="1:6" x14ac:dyDescent="0.35">
      <c r="A431" s="22" t="s">
        <v>839</v>
      </c>
      <c r="B431" s="22" t="s">
        <v>854</v>
      </c>
      <c r="C431" s="22">
        <v>2</v>
      </c>
      <c r="D431" s="23">
        <v>35</v>
      </c>
      <c r="E431" s="23">
        <f>(INVENTARIO!$D431*INVENTARIO!$C431)</f>
        <v>70</v>
      </c>
      <c r="F431" s="24"/>
    </row>
    <row r="432" spans="1:6" s="8" customFormat="1" x14ac:dyDescent="0.35">
      <c r="A432" s="18" t="s">
        <v>838</v>
      </c>
      <c r="B432" s="18" t="s">
        <v>855</v>
      </c>
      <c r="C432" s="18">
        <v>2</v>
      </c>
      <c r="D432" s="19">
        <v>45</v>
      </c>
      <c r="E432" s="19">
        <f>(INVENTARIO!$D432*INVENTARIO!$C432)</f>
        <v>90</v>
      </c>
      <c r="F432" s="20"/>
    </row>
    <row r="433" spans="1:6" s="8" customFormat="1" x14ac:dyDescent="0.35">
      <c r="A433" s="22" t="s">
        <v>614</v>
      </c>
      <c r="B433" s="22" t="s">
        <v>615</v>
      </c>
      <c r="C433" s="22">
        <v>4</v>
      </c>
      <c r="D433" s="23">
        <v>55</v>
      </c>
      <c r="E433" s="23">
        <f>(INVENTARIO!$D433*INVENTARIO!$C433)</f>
        <v>220</v>
      </c>
      <c r="F433" s="24"/>
    </row>
    <row r="434" spans="1:6" x14ac:dyDescent="0.35">
      <c r="A434" s="12" t="s">
        <v>106</v>
      </c>
      <c r="B434" s="12" t="s">
        <v>725</v>
      </c>
      <c r="C434" s="12">
        <v>1</v>
      </c>
      <c r="D434" s="13">
        <v>80</v>
      </c>
      <c r="E434" s="13">
        <f>(INVENTARIO!$D434*INVENTARIO!$C434)</f>
        <v>80</v>
      </c>
      <c r="F434" s="21"/>
    </row>
    <row r="435" spans="1:6" x14ac:dyDescent="0.35">
      <c r="A435" s="12" t="s">
        <v>112</v>
      </c>
      <c r="B435" s="12" t="s">
        <v>144</v>
      </c>
      <c r="C435" s="12">
        <v>3</v>
      </c>
      <c r="D435" s="13">
        <v>75</v>
      </c>
      <c r="E435" s="13">
        <f>(INVENTARIO!$D435*INVENTARIO!$C435)</f>
        <v>225</v>
      </c>
      <c r="F435" s="21"/>
    </row>
    <row r="436" spans="1:6" x14ac:dyDescent="0.35">
      <c r="A436" s="18" t="s">
        <v>113</v>
      </c>
      <c r="B436" s="18" t="s">
        <v>145</v>
      </c>
      <c r="C436" s="18">
        <v>2</v>
      </c>
      <c r="D436" s="19">
        <v>75</v>
      </c>
      <c r="E436" s="19">
        <f>(INVENTARIO!$D436*INVENTARIO!$C436)</f>
        <v>150</v>
      </c>
      <c r="F436" s="20"/>
    </row>
    <row r="437" spans="1:6" s="8" customFormat="1" x14ac:dyDescent="0.35">
      <c r="A437" s="12" t="s">
        <v>108</v>
      </c>
      <c r="B437" s="12" t="s">
        <v>141</v>
      </c>
      <c r="C437" s="12">
        <v>4</v>
      </c>
      <c r="D437" s="13">
        <v>60</v>
      </c>
      <c r="E437" s="13">
        <f>(INVENTARIO!$D437*INVENTARIO!$C437)</f>
        <v>240</v>
      </c>
      <c r="F437" s="21"/>
    </row>
    <row r="438" spans="1:6" x14ac:dyDescent="0.35">
      <c r="A438" s="12" t="s">
        <v>107</v>
      </c>
      <c r="B438" s="12" t="s">
        <v>140</v>
      </c>
      <c r="C438" s="12">
        <v>4</v>
      </c>
      <c r="D438" s="13">
        <v>65</v>
      </c>
      <c r="E438" s="13">
        <f>(INVENTARIO!$D438*INVENTARIO!$C438)</f>
        <v>260</v>
      </c>
      <c r="F438" s="21"/>
    </row>
    <row r="439" spans="1:6" x14ac:dyDescent="0.35">
      <c r="A439" s="22" t="s">
        <v>841</v>
      </c>
      <c r="B439" s="22" t="s">
        <v>856</v>
      </c>
      <c r="C439" s="22">
        <v>2</v>
      </c>
      <c r="D439" s="23">
        <v>65</v>
      </c>
      <c r="E439" s="23">
        <f>(INVENTARIO!$D439*INVENTARIO!$C439)</f>
        <v>130</v>
      </c>
      <c r="F439" s="24"/>
    </row>
    <row r="440" spans="1:6" x14ac:dyDescent="0.35">
      <c r="A440" s="18" t="s">
        <v>840</v>
      </c>
      <c r="B440" s="29" t="s">
        <v>857</v>
      </c>
      <c r="C440" s="18">
        <v>2</v>
      </c>
      <c r="D440" s="19">
        <v>55</v>
      </c>
      <c r="E440" s="19">
        <f>(INVENTARIO!$D440*INVENTARIO!$C440)</f>
        <v>110</v>
      </c>
      <c r="F440" s="20"/>
    </row>
    <row r="441" spans="1:6" x14ac:dyDescent="0.35">
      <c r="A441" s="22" t="s">
        <v>1017</v>
      </c>
      <c r="B441" s="22" t="s">
        <v>1018</v>
      </c>
      <c r="C441" s="22">
        <v>2</v>
      </c>
      <c r="D441" s="23">
        <v>25</v>
      </c>
      <c r="E441" s="23">
        <f>(INVENTARIO!$D441*INVENTARIO!$C441)</f>
        <v>50</v>
      </c>
      <c r="F441" s="24"/>
    </row>
    <row r="442" spans="1:6" x14ac:dyDescent="0.35">
      <c r="A442" s="18" t="s">
        <v>1020</v>
      </c>
      <c r="B442" s="18" t="s">
        <v>1019</v>
      </c>
      <c r="C442" s="18">
        <v>2</v>
      </c>
      <c r="D442" s="19">
        <v>40</v>
      </c>
      <c r="E442" s="19">
        <f>(INVENTARIO!$D442*INVENTARIO!$C442)</f>
        <v>80</v>
      </c>
      <c r="F442" s="20"/>
    </row>
    <row r="443" spans="1:6" x14ac:dyDescent="0.35">
      <c r="A443" s="15" t="s">
        <v>118</v>
      </c>
      <c r="B443" s="15" t="s">
        <v>477</v>
      </c>
      <c r="C443" s="15">
        <v>0</v>
      </c>
      <c r="D443" s="16">
        <v>30</v>
      </c>
      <c r="E443" s="16">
        <f>(INVENTARIO!$D443*INVENTARIO!$C443)</f>
        <v>0</v>
      </c>
      <c r="F443" s="17"/>
    </row>
    <row r="444" spans="1:6" x14ac:dyDescent="0.35">
      <c r="A444" s="18" t="s">
        <v>598</v>
      </c>
      <c r="B444" s="18" t="s">
        <v>599</v>
      </c>
      <c r="C444" s="18">
        <v>2</v>
      </c>
      <c r="D444" s="19">
        <v>65</v>
      </c>
      <c r="E444" s="19">
        <f>(INVENTARIO!$D444*INVENTARIO!$C444)</f>
        <v>130</v>
      </c>
      <c r="F444" s="20"/>
    </row>
    <row r="445" spans="1:6" s="11" customFormat="1" x14ac:dyDescent="0.35">
      <c r="A445" s="15" t="s">
        <v>596</v>
      </c>
      <c r="B445" s="15" t="s">
        <v>597</v>
      </c>
      <c r="C445" s="15">
        <v>0</v>
      </c>
      <c r="D445" s="16">
        <v>65</v>
      </c>
      <c r="E445" s="16">
        <f>(INVENTARIO!$D445*INVENTARIO!$C445)</f>
        <v>0</v>
      </c>
      <c r="F445" s="17"/>
    </row>
    <row r="446" spans="1:6" x14ac:dyDescent="0.35">
      <c r="A446" s="18" t="s">
        <v>963</v>
      </c>
      <c r="B446" s="18" t="s">
        <v>965</v>
      </c>
      <c r="C446" s="18">
        <v>1</v>
      </c>
      <c r="D446" s="19">
        <v>60</v>
      </c>
      <c r="E446" s="19">
        <f>(INVENTARIO!$D446*INVENTARIO!$C446)</f>
        <v>60</v>
      </c>
      <c r="F446" s="20"/>
    </row>
    <row r="447" spans="1:6" x14ac:dyDescent="0.35">
      <c r="A447" s="22" t="s">
        <v>979</v>
      </c>
      <c r="B447" s="22" t="s">
        <v>984</v>
      </c>
      <c r="C447" s="22">
        <v>1</v>
      </c>
      <c r="D447" s="23">
        <v>80</v>
      </c>
      <c r="E447" s="23">
        <f>(INVENTARIO!$D447*INVENTARIO!$C447)</f>
        <v>80</v>
      </c>
      <c r="F447" s="24"/>
    </row>
    <row r="448" spans="1:6" s="11" customFormat="1" x14ac:dyDescent="0.35">
      <c r="A448" s="18" t="s">
        <v>966</v>
      </c>
      <c r="B448" s="18" t="s">
        <v>969</v>
      </c>
      <c r="C448" s="18">
        <v>1</v>
      </c>
      <c r="D448" s="19">
        <v>70</v>
      </c>
      <c r="E448" s="19">
        <f>(INVENTARIO!$D448*INVENTARIO!$C448)</f>
        <v>70</v>
      </c>
      <c r="F448" s="20"/>
    </row>
    <row r="449" spans="1:6" x14ac:dyDescent="0.35">
      <c r="A449" s="22" t="s">
        <v>978</v>
      </c>
      <c r="B449" s="22" t="s">
        <v>983</v>
      </c>
      <c r="C449" s="22">
        <v>1</v>
      </c>
      <c r="D449" s="23">
        <v>95</v>
      </c>
      <c r="E449" s="23">
        <f>(INVENTARIO!$D449*INVENTARIO!$C449)</f>
        <v>95</v>
      </c>
      <c r="F449" s="24"/>
    </row>
    <row r="450" spans="1:6" x14ac:dyDescent="0.35">
      <c r="A450" s="18" t="s">
        <v>104</v>
      </c>
      <c r="B450" s="18" t="s">
        <v>139</v>
      </c>
      <c r="C450" s="18">
        <v>1</v>
      </c>
      <c r="D450" s="19">
        <v>45</v>
      </c>
      <c r="E450" s="19">
        <f>(INVENTARIO!$D450*INVENTARIO!$C450)</f>
        <v>45</v>
      </c>
      <c r="F450" s="20"/>
    </row>
    <row r="451" spans="1:6" x14ac:dyDescent="0.35">
      <c r="A451" s="12" t="s">
        <v>105</v>
      </c>
      <c r="B451" s="12" t="s">
        <v>860</v>
      </c>
      <c r="C451" s="12">
        <v>1</v>
      </c>
      <c r="D451" s="13">
        <v>55</v>
      </c>
      <c r="E451" s="13">
        <f>(INVENTARIO!$D451*INVENTARIO!$C451)</f>
        <v>55</v>
      </c>
      <c r="F451" s="21"/>
    </row>
    <row r="452" spans="1:6" x14ac:dyDescent="0.35">
      <c r="A452" s="12" t="s">
        <v>411</v>
      </c>
      <c r="B452" s="12" t="s">
        <v>412</v>
      </c>
      <c r="C452" s="12">
        <v>12</v>
      </c>
      <c r="D452" s="13">
        <v>20</v>
      </c>
      <c r="E452" s="13">
        <f>(INVENTARIO!$D452*INVENTARIO!$C452)</f>
        <v>240</v>
      </c>
      <c r="F452" s="21"/>
    </row>
    <row r="453" spans="1:6" x14ac:dyDescent="0.35">
      <c r="A453" s="22" t="s">
        <v>420</v>
      </c>
      <c r="B453" s="22" t="s">
        <v>421</v>
      </c>
      <c r="C453" s="22">
        <v>1</v>
      </c>
      <c r="D453" s="23">
        <v>40</v>
      </c>
      <c r="E453" s="23">
        <f>(INVENTARIO!$D453*INVENTARIO!$C453)</f>
        <v>40</v>
      </c>
      <c r="F453" s="24"/>
    </row>
    <row r="454" spans="1:6" x14ac:dyDescent="0.35">
      <c r="A454" s="18" t="s">
        <v>422</v>
      </c>
      <c r="B454" s="18" t="s">
        <v>423</v>
      </c>
      <c r="C454" s="18">
        <v>1</v>
      </c>
      <c r="D454" s="19">
        <v>40</v>
      </c>
      <c r="E454" s="19">
        <f>(INVENTARIO!$D454*INVENTARIO!$C454)</f>
        <v>40</v>
      </c>
      <c r="F454" s="20"/>
    </row>
    <row r="455" spans="1:6" x14ac:dyDescent="0.35">
      <c r="A455" s="22" t="s">
        <v>589</v>
      </c>
      <c r="B455" s="22" t="s">
        <v>590</v>
      </c>
      <c r="C455" s="22">
        <v>1</v>
      </c>
      <c r="D455" s="23">
        <v>55</v>
      </c>
      <c r="E455" s="23">
        <f>(INVENTARIO!$D455*INVENTARIO!$C455)</f>
        <v>55</v>
      </c>
      <c r="F455" s="24"/>
    </row>
    <row r="456" spans="1:6" s="8" customFormat="1" x14ac:dyDescent="0.35">
      <c r="A456" s="18" t="s">
        <v>218</v>
      </c>
      <c r="B456" s="18" t="s">
        <v>858</v>
      </c>
      <c r="C456" s="18">
        <v>2</v>
      </c>
      <c r="D456" s="19">
        <v>40</v>
      </c>
      <c r="E456" s="19">
        <f>(INVENTARIO!$D456*INVENTARIO!$C456)</f>
        <v>80</v>
      </c>
      <c r="F456" s="20"/>
    </row>
    <row r="457" spans="1:6" x14ac:dyDescent="0.35">
      <c r="A457" s="22" t="s">
        <v>717</v>
      </c>
      <c r="B457" s="22" t="s">
        <v>718</v>
      </c>
      <c r="C457" s="22">
        <v>2</v>
      </c>
      <c r="D457" s="23">
        <v>25</v>
      </c>
      <c r="E457" s="23">
        <f>(INVENTARIO!$D457*INVENTARIO!$C457)</f>
        <v>50</v>
      </c>
      <c r="F457" s="24"/>
    </row>
    <row r="458" spans="1:6" x14ac:dyDescent="0.35">
      <c r="A458" s="18" t="s">
        <v>721</v>
      </c>
      <c r="B458" s="18" t="s">
        <v>923</v>
      </c>
      <c r="C458" s="18">
        <v>3</v>
      </c>
      <c r="D458" s="19">
        <v>20</v>
      </c>
      <c r="E458" s="19">
        <f>(INVENTARIO!$D458*INVENTARIO!$C458)</f>
        <v>60</v>
      </c>
      <c r="F458" s="20"/>
    </row>
    <row r="459" spans="1:6" x14ac:dyDescent="0.35">
      <c r="A459" s="22" t="s">
        <v>915</v>
      </c>
      <c r="B459" s="22" t="s">
        <v>924</v>
      </c>
      <c r="C459" s="22">
        <v>2</v>
      </c>
      <c r="D459" s="23">
        <v>20</v>
      </c>
      <c r="E459" s="23">
        <f>(INVENTARIO!$D459*INVENTARIO!$C459)</f>
        <v>40</v>
      </c>
      <c r="F459" s="24"/>
    </row>
    <row r="460" spans="1:6" x14ac:dyDescent="0.35">
      <c r="A460" s="12" t="s">
        <v>570</v>
      </c>
      <c r="B460" s="12" t="s">
        <v>575</v>
      </c>
      <c r="C460" s="12">
        <v>1</v>
      </c>
      <c r="D460" s="13">
        <v>90</v>
      </c>
      <c r="E460" s="13">
        <f>(INVENTARIO!$D460*INVENTARIO!$C460)</f>
        <v>90</v>
      </c>
      <c r="F460" s="21"/>
    </row>
    <row r="461" spans="1:6" x14ac:dyDescent="0.35">
      <c r="A461" s="22" t="s">
        <v>580</v>
      </c>
      <c r="B461" s="22" t="s">
        <v>1004</v>
      </c>
      <c r="C461" s="22">
        <v>17</v>
      </c>
      <c r="D461" s="23">
        <v>10</v>
      </c>
      <c r="E461" s="23">
        <f>(INVENTARIO!$D461*INVENTARIO!$C461)</f>
        <v>170</v>
      </c>
      <c r="F461" s="24"/>
    </row>
    <row r="462" spans="1:6" x14ac:dyDescent="0.35">
      <c r="A462" s="12" t="s">
        <v>791</v>
      </c>
      <c r="B462" s="12" t="s">
        <v>793</v>
      </c>
      <c r="C462" s="12">
        <v>6</v>
      </c>
      <c r="D462" s="13">
        <v>30</v>
      </c>
      <c r="E462" s="13">
        <f>(INVENTARIO!$D462*INVENTARIO!$C462)</f>
        <v>180</v>
      </c>
      <c r="F462" s="21"/>
    </row>
    <row r="463" spans="1:6" x14ac:dyDescent="0.35">
      <c r="A463" s="22" t="s">
        <v>790</v>
      </c>
      <c r="B463" s="22" t="s">
        <v>792</v>
      </c>
      <c r="C463" s="22">
        <v>9</v>
      </c>
      <c r="D463" s="23">
        <v>30</v>
      </c>
      <c r="E463" s="23">
        <f>(INVENTARIO!$D463*INVENTARIO!$C463)</f>
        <v>270</v>
      </c>
      <c r="F463" s="24"/>
    </row>
    <row r="464" spans="1:6" x14ac:dyDescent="0.35">
      <c r="A464" s="12" t="s">
        <v>344</v>
      </c>
      <c r="B464" s="12" t="s">
        <v>863</v>
      </c>
      <c r="C464" s="12">
        <v>1</v>
      </c>
      <c r="D464" s="13">
        <v>80</v>
      </c>
      <c r="E464" s="13">
        <f>(INVENTARIO!$D464*INVENTARIO!$C464)</f>
        <v>80</v>
      </c>
      <c r="F464" s="21"/>
    </row>
    <row r="465" spans="1:6" x14ac:dyDescent="0.35">
      <c r="A465" s="12" t="s">
        <v>209</v>
      </c>
      <c r="B465" s="12" t="s">
        <v>285</v>
      </c>
      <c r="C465" s="12">
        <v>6</v>
      </c>
      <c r="D465" s="13">
        <v>25</v>
      </c>
      <c r="E465" s="13">
        <f>(INVENTARIO!$D465*INVENTARIO!$C465)</f>
        <v>150</v>
      </c>
      <c r="F465" s="27"/>
    </row>
    <row r="466" spans="1:6" x14ac:dyDescent="0.35">
      <c r="A466" s="18" t="s">
        <v>210</v>
      </c>
      <c r="B466" s="18" t="s">
        <v>286</v>
      </c>
      <c r="C466" s="18">
        <v>4</v>
      </c>
      <c r="D466" s="19">
        <v>20</v>
      </c>
      <c r="E466" s="19">
        <f>(INVENTARIO!$D466*INVENTARIO!$C466)</f>
        <v>80</v>
      </c>
      <c r="F466" s="20"/>
    </row>
    <row r="467" spans="1:6" s="11" customFormat="1" x14ac:dyDescent="0.35">
      <c r="A467" s="15" t="s">
        <v>216</v>
      </c>
      <c r="B467" s="15" t="s">
        <v>408</v>
      </c>
      <c r="C467" s="15">
        <v>0</v>
      </c>
      <c r="D467" s="16">
        <v>40</v>
      </c>
      <c r="E467" s="16">
        <f>(INVENTARIO!$D467*INVENTARIO!$C467)</f>
        <v>0</v>
      </c>
      <c r="F467" s="17"/>
    </row>
    <row r="468" spans="1:6" x14ac:dyDescent="0.35">
      <c r="A468" s="12" t="s">
        <v>217</v>
      </c>
      <c r="B468" s="12" t="s">
        <v>364</v>
      </c>
      <c r="C468" s="12">
        <v>2</v>
      </c>
      <c r="D468" s="13">
        <v>40</v>
      </c>
      <c r="E468" s="13">
        <f>(INVENTARIO!$D468*INVENTARIO!$C468)</f>
        <v>80</v>
      </c>
      <c r="F468" s="20"/>
    </row>
    <row r="469" spans="1:6" x14ac:dyDescent="0.35">
      <c r="A469" s="22" t="s">
        <v>225</v>
      </c>
      <c r="B469" s="22" t="s">
        <v>297</v>
      </c>
      <c r="C469" s="22">
        <v>6</v>
      </c>
      <c r="D469" s="23">
        <v>20</v>
      </c>
      <c r="E469" s="23">
        <f>(INVENTARIO!$D469*INVENTARIO!$C469)</f>
        <v>120</v>
      </c>
      <c r="F469" s="24"/>
    </row>
    <row r="470" spans="1:6" x14ac:dyDescent="0.35">
      <c r="A470" s="18" t="s">
        <v>1021</v>
      </c>
      <c r="B470" s="18" t="s">
        <v>1022</v>
      </c>
      <c r="C470" s="18">
        <v>2</v>
      </c>
      <c r="D470" s="19">
        <v>80</v>
      </c>
      <c r="E470" s="19">
        <f>(INVENTARIO!$D470*INVENTARIO!$C470)</f>
        <v>160</v>
      </c>
      <c r="F470" s="20"/>
    </row>
    <row r="471" spans="1:6" x14ac:dyDescent="0.35">
      <c r="A471" s="22" t="s">
        <v>957</v>
      </c>
      <c r="B471" s="22" t="s">
        <v>958</v>
      </c>
      <c r="C471" s="22">
        <v>7</v>
      </c>
      <c r="D471" s="23">
        <v>10</v>
      </c>
      <c r="E471" s="23">
        <f>(INVENTARIO!$D471*INVENTARIO!$C471)</f>
        <v>70</v>
      </c>
      <c r="F471" s="24"/>
    </row>
    <row r="472" spans="1:6" x14ac:dyDescent="0.35">
      <c r="A472" s="18" t="s">
        <v>200</v>
      </c>
      <c r="B472" s="18" t="s">
        <v>277</v>
      </c>
      <c r="C472" s="18">
        <v>1</v>
      </c>
      <c r="D472" s="19">
        <v>35</v>
      </c>
      <c r="E472" s="19">
        <f>(INVENTARIO!$D472*INVENTARIO!$C472)</f>
        <v>35</v>
      </c>
      <c r="F472" s="20"/>
    </row>
    <row r="473" spans="1:6" x14ac:dyDescent="0.35">
      <c r="A473" s="22" t="s">
        <v>870</v>
      </c>
      <c r="B473" s="22" t="s">
        <v>868</v>
      </c>
      <c r="C473" s="22">
        <v>2</v>
      </c>
      <c r="D473" s="23">
        <v>30</v>
      </c>
      <c r="E473" s="23">
        <f>(INVENTARIO!$D473*INVENTARIO!$C473)</f>
        <v>60</v>
      </c>
      <c r="F473" s="24"/>
    </row>
    <row r="474" spans="1:6" x14ac:dyDescent="0.35">
      <c r="A474" s="18" t="s">
        <v>867</v>
      </c>
      <c r="B474" s="18" t="s">
        <v>869</v>
      </c>
      <c r="C474" s="18">
        <v>1</v>
      </c>
      <c r="D474" s="19">
        <v>15</v>
      </c>
      <c r="E474" s="19">
        <f>(INVENTARIO!$D474*INVENTARIO!$C474)</f>
        <v>15</v>
      </c>
      <c r="F474" s="20"/>
    </row>
    <row r="475" spans="1:6" x14ac:dyDescent="0.35">
      <c r="A475" s="22" t="s">
        <v>226</v>
      </c>
      <c r="B475" s="22" t="s">
        <v>298</v>
      </c>
      <c r="C475" s="22">
        <v>5</v>
      </c>
      <c r="D475" s="23">
        <v>15</v>
      </c>
      <c r="E475" s="23">
        <f>(INVENTARIO!$D475*INVENTARIO!$C475)</f>
        <v>75</v>
      </c>
      <c r="F475" s="24"/>
    </row>
    <row r="476" spans="1:6" s="11" customFormat="1" x14ac:dyDescent="0.35">
      <c r="A476" s="12" t="s">
        <v>202</v>
      </c>
      <c r="B476" s="12" t="s">
        <v>279</v>
      </c>
      <c r="C476" s="12">
        <v>4</v>
      </c>
      <c r="D476" s="13">
        <v>12</v>
      </c>
      <c r="E476" s="13">
        <f>(INVENTARIO!$D476*INVENTARIO!$C476)</f>
        <v>48</v>
      </c>
      <c r="F476" s="21"/>
    </row>
    <row r="477" spans="1:6" x14ac:dyDescent="0.35">
      <c r="A477" s="22" t="s">
        <v>887</v>
      </c>
      <c r="B477" s="22" t="s">
        <v>888</v>
      </c>
      <c r="C477" s="22">
        <v>1</v>
      </c>
      <c r="D477" s="23">
        <v>130</v>
      </c>
      <c r="E477" s="23">
        <f>(INVENTARIO!$D477*INVENTARIO!$C477)</f>
        <v>130</v>
      </c>
      <c r="F477" s="24"/>
    </row>
    <row r="478" spans="1:6" x14ac:dyDescent="0.35">
      <c r="A478" s="18" t="s">
        <v>87</v>
      </c>
      <c r="B478" s="18" t="s">
        <v>754</v>
      </c>
      <c r="C478" s="18">
        <v>2</v>
      </c>
      <c r="D478" s="19">
        <v>15</v>
      </c>
      <c r="E478" s="19">
        <f>(INVENTARIO!$D478*INVENTARIO!$C478)</f>
        <v>30</v>
      </c>
      <c r="F478" s="20"/>
    </row>
    <row r="479" spans="1:6" x14ac:dyDescent="0.35">
      <c r="A479" s="22" t="s">
        <v>755</v>
      </c>
      <c r="B479" s="22" t="s">
        <v>756</v>
      </c>
      <c r="C479" s="22">
        <v>4</v>
      </c>
      <c r="D479" s="23">
        <v>15</v>
      </c>
      <c r="E479" s="23">
        <f>(INVENTARIO!$D479*INVENTARIO!$C479)</f>
        <v>60</v>
      </c>
      <c r="F479" s="24"/>
    </row>
    <row r="480" spans="1:6" x14ac:dyDescent="0.35">
      <c r="A480" s="12" t="s">
        <v>232</v>
      </c>
      <c r="B480" s="12" t="s">
        <v>472</v>
      </c>
      <c r="C480" s="12">
        <v>5</v>
      </c>
      <c r="D480" s="13">
        <v>15</v>
      </c>
      <c r="E480" s="13">
        <f>(INVENTARIO!$D480*INVENTARIO!$C480)</f>
        <v>75</v>
      </c>
      <c r="F480" s="21"/>
    </row>
    <row r="481" spans="1:6" x14ac:dyDescent="0.35">
      <c r="A481" s="22" t="s">
        <v>805</v>
      </c>
      <c r="B481" s="22" t="s">
        <v>806</v>
      </c>
      <c r="C481" s="22">
        <v>3</v>
      </c>
      <c r="D481" s="23">
        <v>65</v>
      </c>
      <c r="E481" s="23">
        <f>(INVENTARIO!$D481*INVENTARIO!$C481)</f>
        <v>195</v>
      </c>
      <c r="F481" s="24"/>
    </row>
    <row r="482" spans="1:6" x14ac:dyDescent="0.35">
      <c r="A482" s="12" t="s">
        <v>132</v>
      </c>
      <c r="B482" s="12" t="s">
        <v>809</v>
      </c>
      <c r="C482" s="12">
        <v>6</v>
      </c>
      <c r="D482" s="13">
        <v>35</v>
      </c>
      <c r="E482" s="13">
        <f>(INVENTARIO!$D482*INVENTARIO!$C482)</f>
        <v>210</v>
      </c>
      <c r="F482" s="21"/>
    </row>
    <row r="483" spans="1:6" x14ac:dyDescent="0.35">
      <c r="A483" s="22" t="s">
        <v>928</v>
      </c>
      <c r="B483" s="22" t="s">
        <v>930</v>
      </c>
      <c r="C483" s="22">
        <v>2</v>
      </c>
      <c r="D483" s="23">
        <v>25</v>
      </c>
      <c r="E483" s="23">
        <f>(INVENTARIO!$D483*INVENTARIO!$C483)</f>
        <v>50</v>
      </c>
      <c r="F483" s="24"/>
    </row>
    <row r="484" spans="1:6" x14ac:dyDescent="0.35">
      <c r="A484" s="18" t="s">
        <v>88</v>
      </c>
      <c r="B484" s="18" t="s">
        <v>696</v>
      </c>
      <c r="C484" s="18">
        <v>1</v>
      </c>
      <c r="D484" s="19">
        <v>35</v>
      </c>
      <c r="E484" s="19">
        <f>(INVENTARIO!$D484*INVENTARIO!$C484)</f>
        <v>35</v>
      </c>
      <c r="F484" s="20"/>
    </row>
    <row r="485" spans="1:6" x14ac:dyDescent="0.35">
      <c r="A485" s="12" t="s">
        <v>89</v>
      </c>
      <c r="B485" s="12" t="s">
        <v>695</v>
      </c>
      <c r="C485" s="12">
        <v>1</v>
      </c>
      <c r="D485" s="13">
        <v>40</v>
      </c>
      <c r="E485" s="13">
        <f>(INVENTARIO!$D485*INVENTARIO!$C485)</f>
        <v>40</v>
      </c>
      <c r="F485" s="21"/>
    </row>
    <row r="486" spans="1:6" x14ac:dyDescent="0.35">
      <c r="A486" s="25" t="s">
        <v>249</v>
      </c>
      <c r="B486" s="25" t="s">
        <v>309</v>
      </c>
      <c r="C486" s="25">
        <v>4</v>
      </c>
      <c r="D486" s="26">
        <v>80</v>
      </c>
      <c r="E486" s="26">
        <f>(INVENTARIO!$D486*INVENTARIO!$C486)</f>
        <v>320</v>
      </c>
      <c r="F486" s="21"/>
    </row>
    <row r="487" spans="1:6" x14ac:dyDescent="0.35">
      <c r="A487" s="15" t="s">
        <v>248</v>
      </c>
      <c r="B487" s="15" t="s">
        <v>308</v>
      </c>
      <c r="C487" s="15">
        <v>5</v>
      </c>
      <c r="D487" s="16">
        <v>80</v>
      </c>
      <c r="E487" s="16">
        <f>(INVENTARIO!$D487*INVENTARIO!$C487)</f>
        <v>400</v>
      </c>
      <c r="F487" s="17"/>
    </row>
    <row r="488" spans="1:6" x14ac:dyDescent="0.35">
      <c r="A488" s="18" t="s">
        <v>310</v>
      </c>
      <c r="B488" s="18" t="s">
        <v>311</v>
      </c>
      <c r="C488" s="18">
        <v>6</v>
      </c>
      <c r="D488" s="19">
        <v>91</v>
      </c>
      <c r="E488" s="19">
        <f>(INVENTARIO!$D488*INVENTARIO!$C488)</f>
        <v>546</v>
      </c>
      <c r="F488" s="20"/>
    </row>
    <row r="489" spans="1:6" x14ac:dyDescent="0.35">
      <c r="A489" s="12" t="s">
        <v>236</v>
      </c>
      <c r="B489" s="12" t="s">
        <v>610</v>
      </c>
      <c r="C489" s="12">
        <v>23</v>
      </c>
      <c r="D489" s="13">
        <v>10</v>
      </c>
      <c r="E489" s="13">
        <f>(INVENTARIO!$D489*INVENTARIO!$C489)</f>
        <v>230</v>
      </c>
      <c r="F489" s="21"/>
    </row>
    <row r="490" spans="1:6" x14ac:dyDescent="0.35">
      <c r="A490" s="18" t="s">
        <v>652</v>
      </c>
      <c r="B490" s="18" t="s">
        <v>653</v>
      </c>
      <c r="C490" s="18">
        <v>7</v>
      </c>
      <c r="D490" s="19">
        <v>25</v>
      </c>
      <c r="E490" s="19">
        <f>(INVENTARIO!$D490*INVENTARIO!$C490)</f>
        <v>175</v>
      </c>
      <c r="F490" s="20"/>
    </row>
    <row r="491" spans="1:6" x14ac:dyDescent="0.35">
      <c r="A491" s="22" t="s">
        <v>987</v>
      </c>
      <c r="B491" s="22" t="s">
        <v>988</v>
      </c>
      <c r="C491" s="22">
        <v>5</v>
      </c>
      <c r="D491" s="23">
        <v>6</v>
      </c>
      <c r="E491" s="23">
        <f>(INVENTARIO!$D491*INVENTARIO!$C491)</f>
        <v>30</v>
      </c>
      <c r="F491" s="24"/>
    </row>
    <row r="492" spans="1:6" x14ac:dyDescent="0.35">
      <c r="A492" s="18" t="s">
        <v>1027</v>
      </c>
      <c r="B492" s="18" t="s">
        <v>1029</v>
      </c>
      <c r="C492" s="18">
        <v>5</v>
      </c>
      <c r="D492" s="19">
        <v>8</v>
      </c>
      <c r="E492" s="19">
        <f>(INVENTARIO!$D492*INVENTARIO!$C492)</f>
        <v>40</v>
      </c>
      <c r="F492" s="20"/>
    </row>
    <row r="493" spans="1:6" x14ac:dyDescent="0.35">
      <c r="A493" s="22" t="s">
        <v>1026</v>
      </c>
      <c r="B493" s="22" t="s">
        <v>1028</v>
      </c>
      <c r="C493" s="22">
        <v>5</v>
      </c>
      <c r="D493" s="23">
        <v>6</v>
      </c>
      <c r="E493" s="23">
        <f>(INVENTARIO!$D493*INVENTARIO!$C493)</f>
        <v>30</v>
      </c>
      <c r="F493" s="24"/>
    </row>
    <row r="494" spans="1:6" x14ac:dyDescent="0.35">
      <c r="A494" s="18" t="s">
        <v>131</v>
      </c>
      <c r="B494" s="18" t="s">
        <v>251</v>
      </c>
      <c r="C494" s="18">
        <v>1</v>
      </c>
      <c r="D494" s="19">
        <v>40</v>
      </c>
      <c r="E494" s="19">
        <f>(INVENTARIO!$D494*INVENTARIO!$C494)</f>
        <v>40</v>
      </c>
      <c r="F494" s="20"/>
    </row>
    <row r="495" spans="1:6" x14ac:dyDescent="0.35">
      <c r="A495" s="15" t="s">
        <v>130</v>
      </c>
      <c r="B495" s="15" t="s">
        <v>250</v>
      </c>
      <c r="C495" s="15">
        <v>0</v>
      </c>
      <c r="D495" s="16">
        <v>50</v>
      </c>
      <c r="E495" s="16">
        <f>(INVENTARIO!$D495*INVENTARIO!$C495)</f>
        <v>0</v>
      </c>
      <c r="F495" s="17"/>
    </row>
    <row r="496" spans="1:6" x14ac:dyDescent="0.35">
      <c r="A496" s="12" t="s">
        <v>600</v>
      </c>
      <c r="B496" s="12" t="s">
        <v>602</v>
      </c>
      <c r="C496" s="12">
        <v>6</v>
      </c>
      <c r="D496" s="13">
        <v>35</v>
      </c>
      <c r="E496" s="13">
        <f>(INVENTARIO!$D496*INVENTARIO!$C496)</f>
        <v>210</v>
      </c>
      <c r="F496" s="21"/>
    </row>
    <row r="497" spans="1:6" x14ac:dyDescent="0.35">
      <c r="A497" s="22" t="s">
        <v>735</v>
      </c>
      <c r="B497" s="22" t="s">
        <v>736</v>
      </c>
      <c r="C497" s="22">
        <v>2</v>
      </c>
      <c r="D497" s="23">
        <v>45</v>
      </c>
      <c r="E497" s="23">
        <f>(INVENTARIO!$D497*INVENTARIO!$C497)</f>
        <v>90</v>
      </c>
      <c r="F497" s="24"/>
    </row>
    <row r="498" spans="1:6" x14ac:dyDescent="0.35">
      <c r="A498" s="12" t="s">
        <v>172</v>
      </c>
      <c r="B498" s="12" t="s">
        <v>393</v>
      </c>
      <c r="C498" s="12">
        <v>4</v>
      </c>
      <c r="D498" s="13">
        <v>70</v>
      </c>
      <c r="E498" s="13">
        <f>(INVENTARIO!$D498*INVENTARIO!$C498)</f>
        <v>280</v>
      </c>
      <c r="F498" s="21"/>
    </row>
    <row r="499" spans="1:6" x14ac:dyDescent="0.35">
      <c r="A499" s="22" t="s">
        <v>693</v>
      </c>
      <c r="B499" s="22" t="s">
        <v>692</v>
      </c>
      <c r="C499" s="22">
        <v>2</v>
      </c>
      <c r="D499" s="23">
        <v>80</v>
      </c>
      <c r="E499" s="23">
        <f>(INVENTARIO!$D499*INVENTARIO!$C499)</f>
        <v>160</v>
      </c>
      <c r="F499" s="24"/>
    </row>
    <row r="500" spans="1:6" x14ac:dyDescent="0.35">
      <c r="A500" s="18" t="s">
        <v>413</v>
      </c>
      <c r="B500" s="18" t="s">
        <v>414</v>
      </c>
      <c r="C500" s="18">
        <v>6</v>
      </c>
      <c r="D500" s="19">
        <v>35</v>
      </c>
      <c r="E500" s="19">
        <f>(INVENTARIO!$D500*INVENTARIO!$C500)</f>
        <v>210</v>
      </c>
      <c r="F500" s="20"/>
    </row>
    <row r="501" spans="1:6" x14ac:dyDescent="0.35">
      <c r="A501" s="22" t="s">
        <v>819</v>
      </c>
      <c r="B501" s="22" t="s">
        <v>820</v>
      </c>
      <c r="C501" s="22">
        <v>1</v>
      </c>
      <c r="D501" s="23">
        <v>60</v>
      </c>
      <c r="E501" s="23">
        <f>(INVENTARIO!$D501*INVENTARIO!$C501)</f>
        <v>60</v>
      </c>
      <c r="F501" s="24"/>
    </row>
    <row r="502" spans="1:6" x14ac:dyDescent="0.35">
      <c r="A502" s="12" t="s">
        <v>466</v>
      </c>
      <c r="B502" s="12" t="s">
        <v>467</v>
      </c>
      <c r="C502" s="12">
        <v>1</v>
      </c>
      <c r="D502" s="13">
        <v>80</v>
      </c>
      <c r="E502" s="13">
        <f>(INVENTARIO!$D502*INVENTARIO!$C502)</f>
        <v>80</v>
      </c>
      <c r="F502" s="21"/>
    </row>
    <row r="503" spans="1:6" x14ac:dyDescent="0.35">
      <c r="A503" s="12" t="s">
        <v>171</v>
      </c>
      <c r="B503" s="12" t="s">
        <v>973</v>
      </c>
      <c r="C503" s="12">
        <v>14</v>
      </c>
      <c r="D503" s="13">
        <v>45</v>
      </c>
      <c r="E503" s="13">
        <f>(INVENTARIO!$D503*INVENTARIO!$C503)</f>
        <v>630</v>
      </c>
      <c r="F503" s="21"/>
    </row>
    <row r="504" spans="1:6" x14ac:dyDescent="0.35">
      <c r="A504" s="18" t="s">
        <v>974</v>
      </c>
      <c r="B504" s="18" t="s">
        <v>975</v>
      </c>
      <c r="C504" s="18">
        <v>3</v>
      </c>
      <c r="D504" s="19">
        <v>70</v>
      </c>
      <c r="E504" s="19">
        <f>(INVENTARIO!$D504*INVENTARIO!$C504)</f>
        <v>210</v>
      </c>
      <c r="F504" s="20"/>
    </row>
    <row r="505" spans="1:6" x14ac:dyDescent="0.35">
      <c r="A505" s="12" t="s">
        <v>350</v>
      </c>
      <c r="B505" s="12" t="s">
        <v>351</v>
      </c>
      <c r="C505" s="12">
        <v>6</v>
      </c>
      <c r="D505" s="13">
        <v>75</v>
      </c>
      <c r="E505" s="13">
        <f>(INVENTARIO!$D505*INVENTARIO!$C505)</f>
        <v>450</v>
      </c>
      <c r="F505" s="21"/>
    </row>
    <row r="506" spans="1:6" x14ac:dyDescent="0.35">
      <c r="A506" s="12" t="s">
        <v>512</v>
      </c>
      <c r="B506" s="12" t="s">
        <v>513</v>
      </c>
      <c r="C506" s="12">
        <v>4</v>
      </c>
      <c r="D506" s="13">
        <v>60</v>
      </c>
      <c r="E506" s="13">
        <f>(INVENTARIO!$D506*INVENTARIO!$C506)</f>
        <v>240</v>
      </c>
      <c r="F506" s="21"/>
    </row>
    <row r="507" spans="1:6" x14ac:dyDescent="0.35">
      <c r="A507" s="22" t="s">
        <v>846</v>
      </c>
      <c r="B507" s="22" t="s">
        <v>849</v>
      </c>
      <c r="C507" s="22">
        <v>6</v>
      </c>
      <c r="D507" s="23">
        <v>3</v>
      </c>
      <c r="E507" s="23">
        <f>(INVENTARIO!$D507*INVENTARIO!$C507)</f>
        <v>18</v>
      </c>
      <c r="F507" s="24"/>
    </row>
    <row r="508" spans="1:6" x14ac:dyDescent="0.35">
      <c r="A508" s="12" t="s">
        <v>229</v>
      </c>
      <c r="B508" s="12" t="s">
        <v>300</v>
      </c>
      <c r="C508" s="12">
        <v>18</v>
      </c>
      <c r="D508" s="13">
        <v>20</v>
      </c>
      <c r="E508" s="13">
        <f>(INVENTARIO!$D508*INVENTARIO!$C508)</f>
        <v>360</v>
      </c>
      <c r="F508" s="21"/>
    </row>
    <row r="509" spans="1:6" x14ac:dyDescent="0.35">
      <c r="A509" s="22" t="s">
        <v>845</v>
      </c>
      <c r="B509" s="22" t="s">
        <v>850</v>
      </c>
      <c r="C509" s="22">
        <v>6</v>
      </c>
      <c r="D509" s="23">
        <v>12</v>
      </c>
      <c r="E509" s="23">
        <f>(INVENTARIO!$D509*INVENTARIO!$C509)</f>
        <v>72</v>
      </c>
      <c r="F509" s="24"/>
    </row>
    <row r="510" spans="1:6" x14ac:dyDescent="0.35">
      <c r="A510" s="12" t="s">
        <v>91</v>
      </c>
      <c r="B510" s="12" t="s">
        <v>936</v>
      </c>
      <c r="C510" s="12">
        <v>6</v>
      </c>
      <c r="D510" s="13">
        <v>60</v>
      </c>
      <c r="E510" s="13">
        <f>(INVENTARIO!$D510*INVENTARIO!$C510)</f>
        <v>360</v>
      </c>
      <c r="F510" s="21"/>
    </row>
    <row r="511" spans="1:6" x14ac:dyDescent="0.35">
      <c r="A511" s="22" t="s">
        <v>372</v>
      </c>
      <c r="B511" s="22" t="s">
        <v>563</v>
      </c>
      <c r="C511" s="22">
        <v>8</v>
      </c>
      <c r="D511" s="23">
        <v>15</v>
      </c>
      <c r="E511" s="23">
        <f>(INVENTARIO!$D511*INVENTARIO!$C511)</f>
        <v>120</v>
      </c>
      <c r="F511" s="24"/>
    </row>
    <row r="512" spans="1:6" x14ac:dyDescent="0.35">
      <c r="A512" s="18" t="s">
        <v>544</v>
      </c>
      <c r="B512" s="18" t="s">
        <v>545</v>
      </c>
      <c r="C512" s="18">
        <v>2</v>
      </c>
      <c r="D512" s="19">
        <v>20</v>
      </c>
      <c r="E512" s="19">
        <f>(INVENTARIO!$D512*INVENTARIO!$C512)</f>
        <v>40</v>
      </c>
      <c r="F512" s="20"/>
    </row>
    <row r="513" spans="1:6" x14ac:dyDescent="0.35">
      <c r="A513" s="22" t="s">
        <v>371</v>
      </c>
      <c r="B513" s="22" t="s">
        <v>562</v>
      </c>
      <c r="C513" s="22">
        <v>8</v>
      </c>
      <c r="D513" s="23">
        <v>15</v>
      </c>
      <c r="E513" s="23">
        <f>(INVENTARIO!$D513*INVENTARIO!$C513)</f>
        <v>120</v>
      </c>
      <c r="F513" s="24"/>
    </row>
    <row r="514" spans="1:6" x14ac:dyDescent="0.35">
      <c r="A514" s="12" t="s">
        <v>97</v>
      </c>
      <c r="B514" s="12" t="s">
        <v>620</v>
      </c>
      <c r="C514" s="12">
        <v>2</v>
      </c>
      <c r="D514" s="13">
        <v>70</v>
      </c>
      <c r="E514" s="13">
        <f>(INVENTARIO!$D514*INVENTARIO!$C514)</f>
        <v>140</v>
      </c>
      <c r="F514" s="21"/>
    </row>
    <row r="515" spans="1:6" x14ac:dyDescent="0.35">
      <c r="A515" s="22" t="s">
        <v>829</v>
      </c>
      <c r="B515" s="22" t="s">
        <v>833</v>
      </c>
      <c r="C515" s="22">
        <v>1</v>
      </c>
      <c r="D515" s="23">
        <v>150</v>
      </c>
      <c r="E515" s="23">
        <f>(INVENTARIO!$D515*INVENTARIO!$C515)</f>
        <v>150</v>
      </c>
      <c r="F515" s="24"/>
    </row>
    <row r="516" spans="1:6" x14ac:dyDescent="0.35">
      <c r="A516" s="18" t="s">
        <v>837</v>
      </c>
      <c r="B516" s="18" t="s">
        <v>842</v>
      </c>
      <c r="C516" s="18">
        <v>1</v>
      </c>
      <c r="D516" s="19">
        <v>350</v>
      </c>
      <c r="E516" s="19">
        <f>(INVENTARIO!$D516*INVENTARIO!$C516)</f>
        <v>350</v>
      </c>
      <c r="F516" s="20"/>
    </row>
    <row r="517" spans="1:6" x14ac:dyDescent="0.35">
      <c r="A517" s="12" t="s">
        <v>683</v>
      </c>
      <c r="B517" s="12" t="s">
        <v>684</v>
      </c>
      <c r="C517" s="12">
        <v>4</v>
      </c>
      <c r="D517" s="13">
        <v>10</v>
      </c>
      <c r="E517" s="13">
        <f>(INVENTARIO!$D517*INVENTARIO!$C517)</f>
        <v>40</v>
      </c>
      <c r="F517" s="21"/>
    </row>
    <row r="518" spans="1:6" x14ac:dyDescent="0.35">
      <c r="A518" s="12" t="s">
        <v>606</v>
      </c>
      <c r="B518" s="12" t="s">
        <v>882</v>
      </c>
      <c r="C518" s="12">
        <v>1</v>
      </c>
      <c r="D518" s="13">
        <v>65</v>
      </c>
      <c r="E518" s="13">
        <f>(INVENTARIO!$D518*INVENTARIO!$C518)</f>
        <v>65</v>
      </c>
      <c r="F518" s="21"/>
    </row>
    <row r="519" spans="1:6" x14ac:dyDescent="0.35">
      <c r="A519" s="22" t="s">
        <v>884</v>
      </c>
      <c r="B519" s="22" t="s">
        <v>883</v>
      </c>
      <c r="C519" s="22">
        <v>1</v>
      </c>
      <c r="D519" s="23">
        <v>75</v>
      </c>
      <c r="E519" s="23">
        <f>(INVENTARIO!$D519*INVENTARIO!$C519)</f>
        <v>75</v>
      </c>
      <c r="F519" s="24"/>
    </row>
    <row r="520" spans="1:6" x14ac:dyDescent="0.35">
      <c r="A520" s="18" t="s">
        <v>1055</v>
      </c>
      <c r="B520" s="18" t="s">
        <v>1056</v>
      </c>
      <c r="C520" s="18">
        <v>1</v>
      </c>
      <c r="D520" s="19">
        <v>120</v>
      </c>
      <c r="E520" s="19">
        <f>(INVENTARIO!$D520*INVENTARIO!$C520)</f>
        <v>120</v>
      </c>
      <c r="F520" s="20"/>
    </row>
    <row r="521" spans="1:6" x14ac:dyDescent="0.35">
      <c r="A521" s="22" t="s">
        <v>490</v>
      </c>
      <c r="B521" s="22" t="s">
        <v>881</v>
      </c>
      <c r="C521" s="22">
        <v>5</v>
      </c>
      <c r="D521" s="23">
        <v>25</v>
      </c>
      <c r="E521" s="23">
        <f>(INVENTARIO!$D521*INVENTARIO!$C521)</f>
        <v>125</v>
      </c>
      <c r="F521" s="24"/>
    </row>
    <row r="522" spans="1:6" x14ac:dyDescent="0.35">
      <c r="A522" s="12" t="s">
        <v>603</v>
      </c>
      <c r="B522" s="12" t="s">
        <v>604</v>
      </c>
      <c r="C522" s="12">
        <v>4</v>
      </c>
      <c r="D522" s="13">
        <v>40</v>
      </c>
      <c r="E522" s="13">
        <f>(INVENTARIO!$D522*INVENTARIO!$C522)</f>
        <v>160</v>
      </c>
      <c r="F522" s="21"/>
    </row>
    <row r="523" spans="1:6" x14ac:dyDescent="0.35">
      <c r="A523" s="22" t="s">
        <v>1038</v>
      </c>
      <c r="B523" s="22" t="s">
        <v>1045</v>
      </c>
      <c r="C523" s="22">
        <v>2</v>
      </c>
      <c r="D523" s="23">
        <v>35</v>
      </c>
      <c r="E523" s="23">
        <f>(INVENTARIO!$D523*INVENTARIO!$C523)</f>
        <v>70</v>
      </c>
      <c r="F523" s="24"/>
    </row>
    <row r="524" spans="1:6" x14ac:dyDescent="0.35">
      <c r="A524" s="18" t="s">
        <v>74</v>
      </c>
      <c r="B524" s="18" t="s">
        <v>785</v>
      </c>
      <c r="C524" s="18">
        <v>4</v>
      </c>
      <c r="D524" s="19">
        <v>25</v>
      </c>
      <c r="E524" s="19">
        <f>(INVENTARIO!$D524*INVENTARIO!$C524)</f>
        <v>100</v>
      </c>
      <c r="F524" s="20"/>
    </row>
    <row r="525" spans="1:6" x14ac:dyDescent="0.35">
      <c r="A525" s="22" t="s">
        <v>92</v>
      </c>
      <c r="B525" s="22" t="s">
        <v>516</v>
      </c>
      <c r="C525" s="22">
        <v>1</v>
      </c>
      <c r="D525" s="23">
        <v>50</v>
      </c>
      <c r="E525" s="23">
        <f>(INVENTARIO!$D525*INVENTARIO!$C525)</f>
        <v>50</v>
      </c>
      <c r="F525" s="24"/>
    </row>
    <row r="526" spans="1:6" x14ac:dyDescent="0.35">
      <c r="A526" s="12" t="s">
        <v>157</v>
      </c>
      <c r="B526" s="12" t="s">
        <v>252</v>
      </c>
      <c r="C526" s="12">
        <v>2</v>
      </c>
      <c r="D526" s="13">
        <v>140</v>
      </c>
      <c r="E526" s="13">
        <f>(INVENTARIO!$D526*INVENTARIO!$C526)</f>
        <v>280</v>
      </c>
      <c r="F526" s="21"/>
    </row>
    <row r="527" spans="1:6" x14ac:dyDescent="0.35">
      <c r="A527" s="15" t="s">
        <v>550</v>
      </c>
      <c r="B527" s="15" t="s">
        <v>781</v>
      </c>
      <c r="C527" s="15">
        <v>0</v>
      </c>
      <c r="D527" s="16">
        <v>30</v>
      </c>
      <c r="E527" s="41">
        <f>(INVENTARIO!$D527*INVENTARIO!$C527)</f>
        <v>0</v>
      </c>
      <c r="F527" s="42"/>
    </row>
    <row r="528" spans="1:6" x14ac:dyDescent="0.35">
      <c r="A528" s="18" t="s">
        <v>779</v>
      </c>
      <c r="B528" s="18" t="s">
        <v>780</v>
      </c>
      <c r="C528" s="18">
        <v>4</v>
      </c>
      <c r="D528" s="19">
        <v>30</v>
      </c>
      <c r="E528" s="43">
        <f>(INVENTARIO!$D528*INVENTARIO!$C528)</f>
        <v>120</v>
      </c>
      <c r="F528" s="44"/>
    </row>
    <row r="529" spans="1:6" x14ac:dyDescent="0.35">
      <c r="A529" s="22" t="s">
        <v>90</v>
      </c>
      <c r="B529" s="22" t="s">
        <v>135</v>
      </c>
      <c r="C529" s="22">
        <v>1</v>
      </c>
      <c r="D529" s="13">
        <v>40</v>
      </c>
      <c r="E529" s="45">
        <f>(INVENTARIO!$D529*INVENTARIO!$C529)</f>
        <v>40</v>
      </c>
      <c r="F529" s="46"/>
    </row>
    <row r="530" spans="1:6" x14ac:dyDescent="0.35">
      <c r="A530" s="18" t="s">
        <v>766</v>
      </c>
      <c r="B530" s="18" t="s">
        <v>767</v>
      </c>
      <c r="C530" s="18">
        <v>1</v>
      </c>
      <c r="D530" s="19">
        <v>320</v>
      </c>
      <c r="E530" s="43">
        <f>(INVENTARIO!$D530*INVENTARIO!$C530)</f>
        <v>320</v>
      </c>
      <c r="F530" s="44"/>
    </row>
    <row r="531" spans="1:6" x14ac:dyDescent="0.35">
      <c r="A531" s="12" t="s">
        <v>514</v>
      </c>
      <c r="B531" s="12" t="s">
        <v>515</v>
      </c>
      <c r="C531" s="12">
        <v>4</v>
      </c>
      <c r="D531" s="13">
        <v>30</v>
      </c>
      <c r="E531" s="45">
        <f>(INVENTARIO!$D531*INVENTARIO!$C531)</f>
        <v>120</v>
      </c>
      <c r="F531" s="47"/>
    </row>
    <row r="532" spans="1:6" x14ac:dyDescent="0.35">
      <c r="A532" s="18" t="s">
        <v>594</v>
      </c>
      <c r="B532" s="18" t="s">
        <v>595</v>
      </c>
      <c r="C532" s="18">
        <v>1</v>
      </c>
      <c r="D532" s="19">
        <v>120</v>
      </c>
      <c r="E532" s="43">
        <f>(INVENTARIO!$D532*INVENTARIO!$C532)</f>
        <v>120</v>
      </c>
      <c r="F532" s="44"/>
    </row>
    <row r="533" spans="1:6" x14ac:dyDescent="0.35">
      <c r="A533" s="48" t="s">
        <v>661</v>
      </c>
      <c r="B533" s="48" t="s">
        <v>677</v>
      </c>
      <c r="C533" s="48">
        <v>2</v>
      </c>
      <c r="D533" s="49">
        <v>70</v>
      </c>
      <c r="E533" s="50">
        <f>(INVENTARIO!$D533*INVENTARIO!$C533)</f>
        <v>140</v>
      </c>
      <c r="F533" s="5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Saber Programas</dc:creator>
  <cp:lastModifiedBy>Jose Meléndez Colina</cp:lastModifiedBy>
  <dcterms:created xsi:type="dcterms:W3CDTF">2017-08-25T08:29:10Z</dcterms:created>
  <dcterms:modified xsi:type="dcterms:W3CDTF">2025-10-14T00:25:20Z</dcterms:modified>
</cp:coreProperties>
</file>